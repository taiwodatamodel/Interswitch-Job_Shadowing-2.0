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ngboost\Desktop\Interswitch-job-shadowing\OneDrive_1_6-19-2025\"/>
    </mc:Choice>
  </mc:AlternateContent>
  <xr:revisionPtr revIDLastSave="0" documentId="13_ncr:1_{8450729B-BCE3-4016-ACAE-7F92AD5F35C6}" xr6:coauthVersionLast="47" xr6:coauthVersionMax="47" xr10:uidLastSave="{00000000-0000-0000-0000-000000000000}"/>
  <bookViews>
    <workbookView xWindow="-120" yWindow="-120" windowWidth="20730" windowHeight="11040" activeTab="8" xr2:uid="{DAEA0C2F-F087-40B3-A149-4D3366C0CBCC}"/>
  </bookViews>
  <sheets>
    <sheet name="Dataset" sheetId="1" r:id="rId1"/>
    <sheet name="Recruitment" sheetId="4" state="hidden" r:id="rId2"/>
    <sheet name="Exit" sheetId="3" state="hidden" r:id="rId3"/>
    <sheet name="Classification Legend" sheetId="2" state="hidden" r:id="rId4"/>
    <sheet name="Performace Score" sheetId="10" state="hidden" r:id="rId5"/>
    <sheet name="Work Model" sheetId="9" state="hidden" r:id="rId6"/>
    <sheet name="LOS Range" sheetId="7" r:id="rId7"/>
    <sheet name="Age Range" sheetId="6" r:id="rId8"/>
    <sheet name="Task-Solution" sheetId="5" r:id="rId9"/>
  </sheets>
  <definedNames>
    <definedName name="_xlnm._FilterDatabase" localSheetId="0" hidden="1">Dataset!$A$1:$S$240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" l="1"/>
  <c r="L2" i="1" s="1"/>
  <c r="H3" i="5"/>
  <c r="I3" i="5" s="1"/>
  <c r="H4" i="5"/>
  <c r="I4" i="5" s="1"/>
  <c r="H5" i="5"/>
  <c r="I5" i="5" s="1"/>
  <c r="H6" i="5"/>
  <c r="I6" i="5" s="1"/>
  <c r="H7" i="5"/>
  <c r="I7" i="5" s="1"/>
  <c r="H8" i="5"/>
  <c r="I8" i="5" s="1"/>
  <c r="H9" i="5"/>
  <c r="I9" i="5" s="1"/>
  <c r="H10" i="5"/>
  <c r="I10" i="5" s="1"/>
  <c r="H11" i="5"/>
  <c r="I11" i="5" s="1"/>
  <c r="H12" i="5"/>
  <c r="I12" i="5" s="1"/>
  <c r="H13" i="5"/>
  <c r="I13" i="5" s="1"/>
  <c r="H14" i="5"/>
  <c r="I14" i="5" s="1"/>
  <c r="H15" i="5"/>
  <c r="I15" i="5" s="1"/>
  <c r="H16" i="5"/>
  <c r="I16" i="5" s="1"/>
  <c r="H17" i="5"/>
  <c r="I17" i="5" s="1"/>
  <c r="H18" i="5"/>
  <c r="I18" i="5" s="1"/>
  <c r="H19" i="5"/>
  <c r="I19" i="5" s="1"/>
  <c r="H20" i="5"/>
  <c r="I20" i="5" s="1"/>
  <c r="H2" i="5"/>
  <c r="I2" i="5" s="1"/>
  <c r="E3" i="5"/>
  <c r="E4" i="5"/>
  <c r="E5" i="5"/>
  <c r="E6" i="5"/>
  <c r="E7" i="5"/>
  <c r="E8" i="5"/>
  <c r="E9" i="5"/>
  <c r="E10" i="5"/>
  <c r="E11" i="5"/>
  <c r="E12" i="5"/>
  <c r="E13" i="5"/>
  <c r="E14" i="5"/>
  <c r="E15" i="5"/>
  <c r="E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2" i="5"/>
  <c r="A17" i="5"/>
  <c r="A14" i="5"/>
  <c r="A11" i="5"/>
  <c r="A8" i="5"/>
  <c r="A2" i="5"/>
  <c r="N25" i="1"/>
  <c r="O25" i="1" s="1"/>
  <c r="N41" i="1"/>
  <c r="O41" i="1" s="1"/>
  <c r="N2" i="1"/>
  <c r="O2" i="1" s="1"/>
  <c r="N3" i="1"/>
  <c r="O3" i="1" s="1"/>
  <c r="N4" i="1"/>
  <c r="O4" i="1" s="1"/>
  <c r="N5" i="1"/>
  <c r="O5" i="1" s="1"/>
  <c r="N6" i="1"/>
  <c r="O6" i="1" s="1"/>
  <c r="N7" i="1"/>
  <c r="O7" i="1" s="1"/>
  <c r="N8" i="1"/>
  <c r="O8" i="1" s="1"/>
  <c r="N10" i="1"/>
  <c r="O10" i="1" s="1"/>
  <c r="N11" i="1"/>
  <c r="O11" i="1" s="1"/>
  <c r="N12" i="1"/>
  <c r="O12" i="1" s="1"/>
  <c r="N13" i="1"/>
  <c r="O13" i="1" s="1"/>
  <c r="N14" i="1"/>
  <c r="O14" i="1" s="1"/>
  <c r="N15" i="1"/>
  <c r="O15" i="1" s="1"/>
  <c r="N16" i="1"/>
  <c r="O16" i="1" s="1"/>
  <c r="N17" i="1"/>
  <c r="O17" i="1" s="1"/>
  <c r="N18" i="1"/>
  <c r="O18" i="1" s="1"/>
  <c r="N19" i="1"/>
  <c r="O19" i="1" s="1"/>
  <c r="N20" i="1"/>
  <c r="O20" i="1" s="1"/>
  <c r="N21" i="1"/>
  <c r="O21" i="1" s="1"/>
  <c r="N22" i="1"/>
  <c r="O22" i="1" s="1"/>
  <c r="N23" i="1"/>
  <c r="O23" i="1" s="1"/>
  <c r="N24" i="1"/>
  <c r="O24" i="1" s="1"/>
  <c r="N26" i="1"/>
  <c r="O26" i="1" s="1"/>
  <c r="N27" i="1"/>
  <c r="O27" i="1" s="1"/>
  <c r="N28" i="1"/>
  <c r="O28" i="1" s="1"/>
  <c r="N29" i="1"/>
  <c r="O29" i="1" s="1"/>
  <c r="N30" i="1"/>
  <c r="O30" i="1" s="1"/>
  <c r="N31" i="1"/>
  <c r="O31" i="1" s="1"/>
  <c r="N32" i="1"/>
  <c r="O32" i="1" s="1"/>
  <c r="N33" i="1"/>
  <c r="O33" i="1" s="1"/>
  <c r="N34" i="1"/>
  <c r="O34" i="1" s="1"/>
  <c r="N35" i="1"/>
  <c r="O35" i="1" s="1"/>
  <c r="N36" i="1"/>
  <c r="O36" i="1" s="1"/>
  <c r="N37" i="1"/>
  <c r="O37" i="1" s="1"/>
  <c r="N38" i="1"/>
  <c r="O38" i="1" s="1"/>
  <c r="N39" i="1"/>
  <c r="O39" i="1" s="1"/>
  <c r="N40" i="1"/>
  <c r="O40" i="1" s="1"/>
  <c r="N42" i="1"/>
  <c r="O42" i="1" s="1"/>
  <c r="N43" i="1"/>
  <c r="O43" i="1" s="1"/>
  <c r="N44" i="1"/>
  <c r="O44" i="1" s="1"/>
  <c r="N45" i="1"/>
  <c r="O45" i="1" s="1"/>
  <c r="N46" i="1"/>
  <c r="O46" i="1" s="1"/>
  <c r="N47" i="1"/>
  <c r="O47" i="1" s="1"/>
  <c r="N48" i="1"/>
  <c r="O48" i="1" s="1"/>
  <c r="N49" i="1"/>
  <c r="O49" i="1" s="1"/>
  <c r="N50" i="1"/>
  <c r="O50" i="1" s="1"/>
  <c r="N51" i="1"/>
  <c r="O51" i="1" s="1"/>
  <c r="N52" i="1"/>
  <c r="O52" i="1" s="1"/>
  <c r="N53" i="1"/>
  <c r="O53" i="1" s="1"/>
  <c r="N54" i="1"/>
  <c r="O54" i="1" s="1"/>
  <c r="N55" i="1"/>
  <c r="O55" i="1" s="1"/>
  <c r="N56" i="1"/>
  <c r="O56" i="1" s="1"/>
  <c r="N57" i="1"/>
  <c r="O57" i="1" s="1"/>
  <c r="N58" i="1"/>
  <c r="O58" i="1" s="1"/>
  <c r="N59" i="1"/>
  <c r="O59" i="1" s="1"/>
  <c r="N60" i="1"/>
  <c r="O60" i="1" s="1"/>
  <c r="N61" i="1"/>
  <c r="O61" i="1" s="1"/>
  <c r="N62" i="1"/>
  <c r="O62" i="1" s="1"/>
  <c r="N63" i="1"/>
  <c r="O63" i="1" s="1"/>
  <c r="N64" i="1"/>
  <c r="O64" i="1" s="1"/>
  <c r="N65" i="1"/>
  <c r="O65" i="1" s="1"/>
  <c r="N66" i="1"/>
  <c r="O66" i="1" s="1"/>
  <c r="N67" i="1"/>
  <c r="O67" i="1" s="1"/>
  <c r="N68" i="1"/>
  <c r="O68" i="1" s="1"/>
  <c r="N69" i="1"/>
  <c r="O69" i="1" s="1"/>
  <c r="N70" i="1"/>
  <c r="O70" i="1" s="1"/>
  <c r="N71" i="1"/>
  <c r="O71" i="1" s="1"/>
  <c r="N72" i="1"/>
  <c r="O72" i="1" s="1"/>
  <c r="N73" i="1"/>
  <c r="O73" i="1" s="1"/>
  <c r="N74" i="1"/>
  <c r="O74" i="1" s="1"/>
  <c r="N75" i="1"/>
  <c r="O75" i="1" s="1"/>
  <c r="N76" i="1"/>
  <c r="O76" i="1" s="1"/>
  <c r="N77" i="1"/>
  <c r="O77" i="1" s="1"/>
  <c r="N78" i="1"/>
  <c r="O78" i="1" s="1"/>
  <c r="N79" i="1"/>
  <c r="O79" i="1" s="1"/>
  <c r="N80" i="1"/>
  <c r="O80" i="1" s="1"/>
  <c r="N81" i="1"/>
  <c r="O81" i="1" s="1"/>
  <c r="N82" i="1"/>
  <c r="O82" i="1" s="1"/>
  <c r="N83" i="1"/>
  <c r="O83" i="1" s="1"/>
  <c r="N84" i="1"/>
  <c r="O84" i="1" s="1"/>
  <c r="N85" i="1"/>
  <c r="O85" i="1" s="1"/>
  <c r="N86" i="1"/>
  <c r="O86" i="1" s="1"/>
  <c r="N87" i="1"/>
  <c r="O87" i="1" s="1"/>
  <c r="N88" i="1"/>
  <c r="O88" i="1" s="1"/>
  <c r="N89" i="1"/>
  <c r="O89" i="1" s="1"/>
  <c r="N90" i="1"/>
  <c r="O90" i="1" s="1"/>
  <c r="N91" i="1"/>
  <c r="O91" i="1" s="1"/>
  <c r="N92" i="1"/>
  <c r="O92" i="1" s="1"/>
  <c r="N93" i="1"/>
  <c r="O93" i="1" s="1"/>
  <c r="N94" i="1"/>
  <c r="O94" i="1" s="1"/>
  <c r="N95" i="1"/>
  <c r="O95" i="1" s="1"/>
  <c r="N96" i="1"/>
  <c r="O96" i="1" s="1"/>
  <c r="N97" i="1"/>
  <c r="O97" i="1" s="1"/>
  <c r="N98" i="1"/>
  <c r="O98" i="1" s="1"/>
  <c r="N99" i="1"/>
  <c r="O99" i="1" s="1"/>
  <c r="N100" i="1"/>
  <c r="O100" i="1" s="1"/>
  <c r="N101" i="1"/>
  <c r="O101" i="1" s="1"/>
  <c r="N102" i="1"/>
  <c r="O102" i="1" s="1"/>
  <c r="N103" i="1"/>
  <c r="O103" i="1" s="1"/>
  <c r="N104" i="1"/>
  <c r="O104" i="1" s="1"/>
  <c r="N105" i="1"/>
  <c r="O105" i="1" s="1"/>
  <c r="N106" i="1"/>
  <c r="O106" i="1" s="1"/>
  <c r="N107" i="1"/>
  <c r="O107" i="1" s="1"/>
  <c r="N108" i="1"/>
  <c r="O108" i="1" s="1"/>
  <c r="N109" i="1"/>
  <c r="O109" i="1" s="1"/>
  <c r="N110" i="1"/>
  <c r="O110" i="1" s="1"/>
  <c r="N111" i="1"/>
  <c r="O111" i="1" s="1"/>
  <c r="N112" i="1"/>
  <c r="O112" i="1" s="1"/>
  <c r="N113" i="1"/>
  <c r="O113" i="1" s="1"/>
  <c r="N114" i="1"/>
  <c r="O114" i="1" s="1"/>
  <c r="N115" i="1"/>
  <c r="O115" i="1" s="1"/>
  <c r="N116" i="1"/>
  <c r="O116" i="1" s="1"/>
  <c r="N117" i="1"/>
  <c r="O117" i="1" s="1"/>
  <c r="N118" i="1"/>
  <c r="O118" i="1" s="1"/>
  <c r="N119" i="1"/>
  <c r="O119" i="1" s="1"/>
  <c r="N120" i="1"/>
  <c r="O120" i="1" s="1"/>
  <c r="N121" i="1"/>
  <c r="O121" i="1" s="1"/>
  <c r="N122" i="1"/>
  <c r="O122" i="1" s="1"/>
  <c r="N123" i="1"/>
  <c r="O123" i="1" s="1"/>
  <c r="N124" i="1"/>
  <c r="O124" i="1" s="1"/>
  <c r="N125" i="1"/>
  <c r="O125" i="1" s="1"/>
  <c r="N126" i="1"/>
  <c r="O126" i="1" s="1"/>
  <c r="N127" i="1"/>
  <c r="O127" i="1" s="1"/>
  <c r="N128" i="1"/>
  <c r="O128" i="1" s="1"/>
  <c r="N129" i="1"/>
  <c r="O129" i="1" s="1"/>
  <c r="N130" i="1"/>
  <c r="O130" i="1" s="1"/>
  <c r="N131" i="1"/>
  <c r="O131" i="1" s="1"/>
  <c r="N132" i="1"/>
  <c r="O132" i="1" s="1"/>
  <c r="N133" i="1"/>
  <c r="O133" i="1" s="1"/>
  <c r="N134" i="1"/>
  <c r="O134" i="1" s="1"/>
  <c r="N135" i="1"/>
  <c r="O135" i="1" s="1"/>
  <c r="N136" i="1"/>
  <c r="O136" i="1" s="1"/>
  <c r="N137" i="1"/>
  <c r="O137" i="1" s="1"/>
  <c r="N138" i="1"/>
  <c r="O138" i="1" s="1"/>
  <c r="N139" i="1"/>
  <c r="O139" i="1" s="1"/>
  <c r="N140" i="1"/>
  <c r="O140" i="1" s="1"/>
  <c r="N141" i="1"/>
  <c r="O141" i="1" s="1"/>
  <c r="N142" i="1"/>
  <c r="O142" i="1" s="1"/>
  <c r="N143" i="1"/>
  <c r="O143" i="1" s="1"/>
  <c r="N144" i="1"/>
  <c r="O144" i="1" s="1"/>
  <c r="N145" i="1"/>
  <c r="O145" i="1" s="1"/>
  <c r="N146" i="1"/>
  <c r="O146" i="1" s="1"/>
  <c r="N147" i="1"/>
  <c r="O147" i="1" s="1"/>
  <c r="N148" i="1"/>
  <c r="O148" i="1" s="1"/>
  <c r="N149" i="1"/>
  <c r="O149" i="1" s="1"/>
  <c r="N150" i="1"/>
  <c r="O150" i="1" s="1"/>
  <c r="N151" i="1"/>
  <c r="O151" i="1" s="1"/>
  <c r="N152" i="1"/>
  <c r="O152" i="1" s="1"/>
  <c r="N153" i="1"/>
  <c r="O153" i="1" s="1"/>
  <c r="N154" i="1"/>
  <c r="O154" i="1" s="1"/>
  <c r="N155" i="1"/>
  <c r="O155" i="1" s="1"/>
  <c r="N156" i="1"/>
  <c r="O156" i="1" s="1"/>
  <c r="N157" i="1"/>
  <c r="O157" i="1" s="1"/>
  <c r="N158" i="1"/>
  <c r="O158" i="1" s="1"/>
  <c r="N159" i="1"/>
  <c r="O159" i="1" s="1"/>
  <c r="N160" i="1"/>
  <c r="O160" i="1" s="1"/>
  <c r="N161" i="1"/>
  <c r="O161" i="1" s="1"/>
  <c r="N162" i="1"/>
  <c r="O162" i="1" s="1"/>
  <c r="N163" i="1"/>
  <c r="O163" i="1" s="1"/>
  <c r="N164" i="1"/>
  <c r="O164" i="1" s="1"/>
  <c r="N165" i="1"/>
  <c r="O165" i="1" s="1"/>
  <c r="N166" i="1"/>
  <c r="O166" i="1" s="1"/>
  <c r="N167" i="1"/>
  <c r="O167" i="1" s="1"/>
  <c r="N168" i="1"/>
  <c r="O168" i="1" s="1"/>
  <c r="N169" i="1"/>
  <c r="O169" i="1" s="1"/>
  <c r="N170" i="1"/>
  <c r="O170" i="1" s="1"/>
  <c r="N171" i="1"/>
  <c r="O171" i="1" s="1"/>
  <c r="N172" i="1"/>
  <c r="O172" i="1" s="1"/>
  <c r="N173" i="1"/>
  <c r="O173" i="1" s="1"/>
  <c r="N174" i="1"/>
  <c r="O174" i="1" s="1"/>
  <c r="N175" i="1"/>
  <c r="O175" i="1" s="1"/>
  <c r="N176" i="1"/>
  <c r="O176" i="1" s="1"/>
  <c r="N177" i="1"/>
  <c r="O177" i="1" s="1"/>
  <c r="N178" i="1"/>
  <c r="O178" i="1" s="1"/>
  <c r="N179" i="1"/>
  <c r="O179" i="1" s="1"/>
  <c r="N180" i="1"/>
  <c r="O180" i="1" s="1"/>
  <c r="N181" i="1"/>
  <c r="O181" i="1" s="1"/>
  <c r="N182" i="1"/>
  <c r="O182" i="1" s="1"/>
  <c r="N183" i="1"/>
  <c r="O183" i="1" s="1"/>
  <c r="N184" i="1"/>
  <c r="O184" i="1" s="1"/>
  <c r="N185" i="1"/>
  <c r="O185" i="1" s="1"/>
  <c r="N186" i="1"/>
  <c r="O186" i="1" s="1"/>
  <c r="N187" i="1"/>
  <c r="O187" i="1" s="1"/>
  <c r="N188" i="1"/>
  <c r="O188" i="1" s="1"/>
  <c r="N189" i="1"/>
  <c r="O189" i="1" s="1"/>
  <c r="N190" i="1"/>
  <c r="O190" i="1" s="1"/>
  <c r="N191" i="1"/>
  <c r="O191" i="1" s="1"/>
  <c r="N192" i="1"/>
  <c r="O192" i="1" s="1"/>
  <c r="N193" i="1"/>
  <c r="O193" i="1" s="1"/>
  <c r="N194" i="1"/>
  <c r="O194" i="1" s="1"/>
  <c r="N195" i="1"/>
  <c r="O195" i="1" s="1"/>
  <c r="N196" i="1"/>
  <c r="O196" i="1" s="1"/>
  <c r="N197" i="1"/>
  <c r="O197" i="1" s="1"/>
  <c r="N198" i="1"/>
  <c r="O198" i="1" s="1"/>
  <c r="N199" i="1"/>
  <c r="O199" i="1" s="1"/>
  <c r="N200" i="1"/>
  <c r="O200" i="1" s="1"/>
  <c r="N201" i="1"/>
  <c r="O201" i="1" s="1"/>
  <c r="N202" i="1"/>
  <c r="O202" i="1" s="1"/>
  <c r="N203" i="1"/>
  <c r="O203" i="1" s="1"/>
  <c r="N204" i="1"/>
  <c r="O204" i="1" s="1"/>
  <c r="N205" i="1"/>
  <c r="O205" i="1" s="1"/>
  <c r="N206" i="1"/>
  <c r="O206" i="1" s="1"/>
  <c r="N207" i="1"/>
  <c r="O207" i="1" s="1"/>
  <c r="N208" i="1"/>
  <c r="O208" i="1" s="1"/>
  <c r="N209" i="1"/>
  <c r="O209" i="1" s="1"/>
  <c r="N210" i="1"/>
  <c r="O210" i="1" s="1"/>
  <c r="N211" i="1"/>
  <c r="O211" i="1" s="1"/>
  <c r="N212" i="1"/>
  <c r="O212" i="1" s="1"/>
  <c r="N213" i="1"/>
  <c r="O213" i="1" s="1"/>
  <c r="N214" i="1"/>
  <c r="O214" i="1" s="1"/>
  <c r="N215" i="1"/>
  <c r="O215" i="1" s="1"/>
  <c r="N216" i="1"/>
  <c r="O216" i="1" s="1"/>
  <c r="N217" i="1"/>
  <c r="O217" i="1" s="1"/>
  <c r="N218" i="1"/>
  <c r="O218" i="1" s="1"/>
  <c r="N219" i="1"/>
  <c r="O219" i="1" s="1"/>
  <c r="N220" i="1"/>
  <c r="O220" i="1" s="1"/>
  <c r="N221" i="1"/>
  <c r="O221" i="1" s="1"/>
  <c r="N222" i="1"/>
  <c r="O222" i="1" s="1"/>
  <c r="N223" i="1"/>
  <c r="O223" i="1" s="1"/>
  <c r="N224" i="1"/>
  <c r="O224" i="1" s="1"/>
  <c r="N225" i="1"/>
  <c r="O225" i="1" s="1"/>
  <c r="N226" i="1"/>
  <c r="O226" i="1" s="1"/>
  <c r="N227" i="1"/>
  <c r="O227" i="1" s="1"/>
  <c r="N228" i="1"/>
  <c r="O228" i="1" s="1"/>
  <c r="N229" i="1"/>
  <c r="O229" i="1" s="1"/>
  <c r="N230" i="1"/>
  <c r="O230" i="1" s="1"/>
  <c r="N231" i="1"/>
  <c r="O231" i="1" s="1"/>
  <c r="N232" i="1"/>
  <c r="O232" i="1" s="1"/>
  <c r="N233" i="1"/>
  <c r="O233" i="1" s="1"/>
  <c r="N234" i="1"/>
  <c r="O234" i="1" s="1"/>
  <c r="N235" i="1"/>
  <c r="O235" i="1" s="1"/>
  <c r="N236" i="1"/>
  <c r="O236" i="1" s="1"/>
  <c r="N237" i="1"/>
  <c r="O237" i="1" s="1"/>
  <c r="N238" i="1"/>
  <c r="O238" i="1" s="1"/>
  <c r="N239" i="1"/>
  <c r="O239" i="1" s="1"/>
  <c r="N240" i="1"/>
  <c r="O240" i="1" s="1"/>
  <c r="N9" i="1"/>
  <c r="O9" i="1" s="1"/>
  <c r="K25" i="1"/>
  <c r="L25" i="1" s="1"/>
  <c r="K41" i="1"/>
  <c r="L41" i="1" s="1"/>
  <c r="K3" i="1"/>
  <c r="L3" i="1" s="1"/>
  <c r="K4" i="1"/>
  <c r="L4" i="1" s="1"/>
  <c r="K5" i="1"/>
  <c r="L5" i="1" s="1"/>
  <c r="K6" i="1"/>
  <c r="L6" i="1" s="1"/>
  <c r="K7" i="1"/>
  <c r="L7" i="1" s="1"/>
  <c r="K8" i="1"/>
  <c r="L8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K53" i="1"/>
  <c r="L53" i="1" s="1"/>
  <c r="K54" i="1"/>
  <c r="L54" i="1" s="1"/>
  <c r="K55" i="1"/>
  <c r="L55" i="1" s="1"/>
  <c r="K56" i="1"/>
  <c r="L56" i="1" s="1"/>
  <c r="K57" i="1"/>
  <c r="L57" i="1" s="1"/>
  <c r="K58" i="1"/>
  <c r="L58" i="1" s="1"/>
  <c r="K59" i="1"/>
  <c r="L59" i="1" s="1"/>
  <c r="K60" i="1"/>
  <c r="L60" i="1" s="1"/>
  <c r="K61" i="1"/>
  <c r="L61" i="1" s="1"/>
  <c r="K62" i="1"/>
  <c r="L62" i="1" s="1"/>
  <c r="K63" i="1"/>
  <c r="L63" i="1" s="1"/>
  <c r="K64" i="1"/>
  <c r="L64" i="1" s="1"/>
  <c r="K65" i="1"/>
  <c r="L65" i="1" s="1"/>
  <c r="K66" i="1"/>
  <c r="L66" i="1" s="1"/>
  <c r="K67" i="1"/>
  <c r="L67" i="1" s="1"/>
  <c r="K68" i="1"/>
  <c r="L68" i="1" s="1"/>
  <c r="K69" i="1"/>
  <c r="L69" i="1" s="1"/>
  <c r="K70" i="1"/>
  <c r="L70" i="1" s="1"/>
  <c r="K71" i="1"/>
  <c r="L71" i="1" s="1"/>
  <c r="K72" i="1"/>
  <c r="L72" i="1" s="1"/>
  <c r="K73" i="1"/>
  <c r="L73" i="1" s="1"/>
  <c r="K74" i="1"/>
  <c r="L74" i="1" s="1"/>
  <c r="K75" i="1"/>
  <c r="L75" i="1" s="1"/>
  <c r="K76" i="1"/>
  <c r="L76" i="1" s="1"/>
  <c r="K77" i="1"/>
  <c r="L77" i="1" s="1"/>
  <c r="K78" i="1"/>
  <c r="L78" i="1" s="1"/>
  <c r="K79" i="1"/>
  <c r="L79" i="1" s="1"/>
  <c r="K80" i="1"/>
  <c r="L80" i="1" s="1"/>
  <c r="K81" i="1"/>
  <c r="L81" i="1" s="1"/>
  <c r="K82" i="1"/>
  <c r="L82" i="1" s="1"/>
  <c r="K83" i="1"/>
  <c r="L83" i="1" s="1"/>
  <c r="K84" i="1"/>
  <c r="L84" i="1" s="1"/>
  <c r="K85" i="1"/>
  <c r="L85" i="1" s="1"/>
  <c r="K86" i="1"/>
  <c r="L86" i="1" s="1"/>
  <c r="K87" i="1"/>
  <c r="L87" i="1" s="1"/>
  <c r="K88" i="1"/>
  <c r="L88" i="1" s="1"/>
  <c r="K89" i="1"/>
  <c r="L89" i="1" s="1"/>
  <c r="K90" i="1"/>
  <c r="L90" i="1" s="1"/>
  <c r="K91" i="1"/>
  <c r="L91" i="1" s="1"/>
  <c r="K92" i="1"/>
  <c r="L92" i="1" s="1"/>
  <c r="K93" i="1"/>
  <c r="L93" i="1" s="1"/>
  <c r="K94" i="1"/>
  <c r="L94" i="1" s="1"/>
  <c r="K95" i="1"/>
  <c r="L95" i="1" s="1"/>
  <c r="K96" i="1"/>
  <c r="L96" i="1" s="1"/>
  <c r="K97" i="1"/>
  <c r="L97" i="1" s="1"/>
  <c r="K98" i="1"/>
  <c r="L98" i="1" s="1"/>
  <c r="K99" i="1"/>
  <c r="L99" i="1" s="1"/>
  <c r="K100" i="1"/>
  <c r="L100" i="1" s="1"/>
  <c r="K101" i="1"/>
  <c r="L101" i="1" s="1"/>
  <c r="K102" i="1"/>
  <c r="L102" i="1" s="1"/>
  <c r="K103" i="1"/>
  <c r="L103" i="1" s="1"/>
  <c r="K104" i="1"/>
  <c r="L104" i="1" s="1"/>
  <c r="K105" i="1"/>
  <c r="L105" i="1" s="1"/>
  <c r="K106" i="1"/>
  <c r="L106" i="1" s="1"/>
  <c r="K107" i="1"/>
  <c r="L107" i="1" s="1"/>
  <c r="K108" i="1"/>
  <c r="L108" i="1" s="1"/>
  <c r="K109" i="1"/>
  <c r="L109" i="1" s="1"/>
  <c r="K110" i="1"/>
  <c r="L110" i="1" s="1"/>
  <c r="K111" i="1"/>
  <c r="L111" i="1" s="1"/>
  <c r="K112" i="1"/>
  <c r="L112" i="1" s="1"/>
  <c r="K113" i="1"/>
  <c r="L113" i="1" s="1"/>
  <c r="K114" i="1"/>
  <c r="L114" i="1" s="1"/>
  <c r="K115" i="1"/>
  <c r="L115" i="1" s="1"/>
  <c r="K116" i="1"/>
  <c r="L116" i="1" s="1"/>
  <c r="K117" i="1"/>
  <c r="L117" i="1" s="1"/>
  <c r="K118" i="1"/>
  <c r="L118" i="1" s="1"/>
  <c r="K119" i="1"/>
  <c r="L119" i="1" s="1"/>
  <c r="K120" i="1"/>
  <c r="L120" i="1" s="1"/>
  <c r="K121" i="1"/>
  <c r="L121" i="1" s="1"/>
  <c r="K122" i="1"/>
  <c r="L122" i="1" s="1"/>
  <c r="K123" i="1"/>
  <c r="L123" i="1" s="1"/>
  <c r="K124" i="1"/>
  <c r="L124" i="1" s="1"/>
  <c r="K125" i="1"/>
  <c r="L125" i="1" s="1"/>
  <c r="K126" i="1"/>
  <c r="L126" i="1" s="1"/>
  <c r="K127" i="1"/>
  <c r="L127" i="1" s="1"/>
  <c r="K128" i="1"/>
  <c r="L128" i="1" s="1"/>
  <c r="K129" i="1"/>
  <c r="L129" i="1" s="1"/>
  <c r="K130" i="1"/>
  <c r="L130" i="1" s="1"/>
  <c r="K131" i="1"/>
  <c r="L131" i="1" s="1"/>
  <c r="K132" i="1"/>
  <c r="L132" i="1" s="1"/>
  <c r="K133" i="1"/>
  <c r="L133" i="1" s="1"/>
  <c r="K134" i="1"/>
  <c r="L134" i="1" s="1"/>
  <c r="K135" i="1"/>
  <c r="L135" i="1" s="1"/>
  <c r="K136" i="1"/>
  <c r="L136" i="1" s="1"/>
  <c r="K137" i="1"/>
  <c r="L137" i="1" s="1"/>
  <c r="K138" i="1"/>
  <c r="L138" i="1" s="1"/>
  <c r="K139" i="1"/>
  <c r="L139" i="1" s="1"/>
  <c r="K140" i="1"/>
  <c r="L140" i="1" s="1"/>
  <c r="K141" i="1"/>
  <c r="L141" i="1" s="1"/>
  <c r="K142" i="1"/>
  <c r="L142" i="1" s="1"/>
  <c r="K143" i="1"/>
  <c r="L143" i="1" s="1"/>
  <c r="K144" i="1"/>
  <c r="L144" i="1" s="1"/>
  <c r="K145" i="1"/>
  <c r="L145" i="1" s="1"/>
  <c r="K146" i="1"/>
  <c r="L146" i="1" s="1"/>
  <c r="K147" i="1"/>
  <c r="L147" i="1" s="1"/>
  <c r="K148" i="1"/>
  <c r="L148" i="1" s="1"/>
  <c r="K149" i="1"/>
  <c r="L149" i="1" s="1"/>
  <c r="K150" i="1"/>
  <c r="L150" i="1" s="1"/>
  <c r="K151" i="1"/>
  <c r="L151" i="1" s="1"/>
  <c r="K152" i="1"/>
  <c r="L152" i="1" s="1"/>
  <c r="K153" i="1"/>
  <c r="L153" i="1" s="1"/>
  <c r="K154" i="1"/>
  <c r="L154" i="1" s="1"/>
  <c r="K155" i="1"/>
  <c r="L155" i="1" s="1"/>
  <c r="K156" i="1"/>
  <c r="L156" i="1" s="1"/>
  <c r="K157" i="1"/>
  <c r="L157" i="1" s="1"/>
  <c r="K158" i="1"/>
  <c r="L158" i="1" s="1"/>
  <c r="K159" i="1"/>
  <c r="L159" i="1" s="1"/>
  <c r="K160" i="1"/>
  <c r="L160" i="1" s="1"/>
  <c r="K161" i="1"/>
  <c r="L161" i="1" s="1"/>
  <c r="K162" i="1"/>
  <c r="L162" i="1" s="1"/>
  <c r="K163" i="1"/>
  <c r="L163" i="1" s="1"/>
  <c r="K164" i="1"/>
  <c r="L164" i="1" s="1"/>
  <c r="K165" i="1"/>
  <c r="L165" i="1" s="1"/>
  <c r="K166" i="1"/>
  <c r="L166" i="1" s="1"/>
  <c r="K167" i="1"/>
  <c r="L167" i="1" s="1"/>
  <c r="K168" i="1"/>
  <c r="L168" i="1" s="1"/>
  <c r="K169" i="1"/>
  <c r="L169" i="1" s="1"/>
  <c r="K170" i="1"/>
  <c r="L170" i="1" s="1"/>
  <c r="K171" i="1"/>
  <c r="L171" i="1" s="1"/>
  <c r="K172" i="1"/>
  <c r="L172" i="1" s="1"/>
  <c r="K173" i="1"/>
  <c r="L173" i="1" s="1"/>
  <c r="K174" i="1"/>
  <c r="L174" i="1" s="1"/>
  <c r="K175" i="1"/>
  <c r="L175" i="1" s="1"/>
  <c r="K176" i="1"/>
  <c r="L176" i="1" s="1"/>
  <c r="K177" i="1"/>
  <c r="L177" i="1" s="1"/>
  <c r="K178" i="1"/>
  <c r="L178" i="1" s="1"/>
  <c r="K179" i="1"/>
  <c r="L179" i="1" s="1"/>
  <c r="K180" i="1"/>
  <c r="L180" i="1" s="1"/>
  <c r="K181" i="1"/>
  <c r="L181" i="1" s="1"/>
  <c r="K182" i="1"/>
  <c r="L182" i="1" s="1"/>
  <c r="K183" i="1"/>
  <c r="L183" i="1" s="1"/>
  <c r="K184" i="1"/>
  <c r="L184" i="1" s="1"/>
  <c r="K185" i="1"/>
  <c r="L185" i="1" s="1"/>
  <c r="K186" i="1"/>
  <c r="L186" i="1" s="1"/>
  <c r="K187" i="1"/>
  <c r="L187" i="1" s="1"/>
  <c r="K188" i="1"/>
  <c r="L188" i="1" s="1"/>
  <c r="K189" i="1"/>
  <c r="L189" i="1" s="1"/>
  <c r="K190" i="1"/>
  <c r="L190" i="1" s="1"/>
  <c r="K191" i="1"/>
  <c r="L191" i="1" s="1"/>
  <c r="K192" i="1"/>
  <c r="L192" i="1" s="1"/>
  <c r="K193" i="1"/>
  <c r="L193" i="1" s="1"/>
  <c r="K194" i="1"/>
  <c r="L194" i="1" s="1"/>
  <c r="K195" i="1"/>
  <c r="L195" i="1" s="1"/>
  <c r="K196" i="1"/>
  <c r="L196" i="1" s="1"/>
  <c r="K197" i="1"/>
  <c r="L197" i="1" s="1"/>
  <c r="K198" i="1"/>
  <c r="L198" i="1" s="1"/>
  <c r="K199" i="1"/>
  <c r="L199" i="1" s="1"/>
  <c r="K200" i="1"/>
  <c r="L200" i="1" s="1"/>
  <c r="K201" i="1"/>
  <c r="L201" i="1" s="1"/>
  <c r="K202" i="1"/>
  <c r="L202" i="1" s="1"/>
  <c r="K203" i="1"/>
  <c r="L203" i="1" s="1"/>
  <c r="K204" i="1"/>
  <c r="L204" i="1" s="1"/>
  <c r="K205" i="1"/>
  <c r="L205" i="1" s="1"/>
  <c r="K206" i="1"/>
  <c r="L206" i="1" s="1"/>
  <c r="K207" i="1"/>
  <c r="L207" i="1" s="1"/>
  <c r="K208" i="1"/>
  <c r="L208" i="1" s="1"/>
  <c r="K209" i="1"/>
  <c r="L209" i="1" s="1"/>
  <c r="K210" i="1"/>
  <c r="L210" i="1" s="1"/>
  <c r="K211" i="1"/>
  <c r="L211" i="1" s="1"/>
  <c r="K212" i="1"/>
  <c r="L212" i="1" s="1"/>
  <c r="K213" i="1"/>
  <c r="L213" i="1" s="1"/>
  <c r="K214" i="1"/>
  <c r="L214" i="1" s="1"/>
  <c r="K215" i="1"/>
  <c r="L215" i="1" s="1"/>
  <c r="K216" i="1"/>
  <c r="L216" i="1" s="1"/>
  <c r="K217" i="1"/>
  <c r="L217" i="1" s="1"/>
  <c r="K218" i="1"/>
  <c r="L218" i="1" s="1"/>
  <c r="K219" i="1"/>
  <c r="L219" i="1" s="1"/>
  <c r="K220" i="1"/>
  <c r="L220" i="1" s="1"/>
  <c r="K221" i="1"/>
  <c r="L221" i="1" s="1"/>
  <c r="K222" i="1"/>
  <c r="L222" i="1" s="1"/>
  <c r="K223" i="1"/>
  <c r="L223" i="1" s="1"/>
  <c r="K224" i="1"/>
  <c r="L224" i="1" s="1"/>
  <c r="K225" i="1"/>
  <c r="L225" i="1" s="1"/>
  <c r="K226" i="1"/>
  <c r="L226" i="1" s="1"/>
  <c r="K227" i="1"/>
  <c r="L227" i="1" s="1"/>
  <c r="K228" i="1"/>
  <c r="L228" i="1" s="1"/>
  <c r="K229" i="1"/>
  <c r="L229" i="1" s="1"/>
  <c r="K230" i="1"/>
  <c r="L230" i="1" s="1"/>
  <c r="K231" i="1"/>
  <c r="L231" i="1" s="1"/>
  <c r="K232" i="1"/>
  <c r="L232" i="1" s="1"/>
  <c r="K233" i="1"/>
  <c r="L233" i="1" s="1"/>
  <c r="K234" i="1"/>
  <c r="L234" i="1" s="1"/>
  <c r="K235" i="1"/>
  <c r="L235" i="1" s="1"/>
  <c r="K236" i="1"/>
  <c r="L236" i="1" s="1"/>
  <c r="K237" i="1"/>
  <c r="L237" i="1" s="1"/>
  <c r="K238" i="1"/>
  <c r="L238" i="1" s="1"/>
  <c r="K239" i="1"/>
  <c r="L239" i="1" s="1"/>
  <c r="K240" i="1"/>
  <c r="L240" i="1" s="1"/>
  <c r="K9" i="1"/>
  <c r="L9" i="1" s="1"/>
  <c r="P49" i="3"/>
  <c r="A20" i="5" l="1"/>
  <c r="A5" i="5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2" i="3"/>
  <c r="I2" i="3" l="1"/>
  <c r="I3" i="3" l="1"/>
  <c r="I29" i="3"/>
  <c r="I23" i="3"/>
  <c r="I5" i="3"/>
  <c r="I6" i="3"/>
  <c r="I14" i="3"/>
  <c r="I22" i="3"/>
  <c r="I30" i="3"/>
  <c r="I7" i="3"/>
  <c r="I8" i="3"/>
  <c r="I9" i="3"/>
  <c r="I10" i="3"/>
  <c r="I18" i="3"/>
  <c r="I19" i="3"/>
  <c r="I27" i="3"/>
  <c r="I35" i="3"/>
  <c r="I43" i="3"/>
  <c r="I31" i="3"/>
  <c r="I21" i="3" l="1"/>
  <c r="I13" i="3"/>
  <c r="I11" i="3"/>
  <c r="I32" i="3"/>
  <c r="I41" i="3"/>
  <c r="I25" i="3"/>
  <c r="I34" i="3"/>
  <c r="I15" i="3"/>
  <c r="I17" i="3"/>
  <c r="I24" i="3"/>
  <c r="I26" i="3"/>
  <c r="I46" i="3"/>
  <c r="I16" i="3"/>
  <c r="I42" i="3"/>
  <c r="I33" i="3"/>
  <c r="I20" i="3"/>
  <c r="I12" i="3"/>
  <c r="I4" i="3"/>
  <c r="I48" i="3"/>
  <c r="I40" i="3"/>
  <c r="I44" i="3"/>
  <c r="I36" i="3"/>
  <c r="I47" i="3"/>
  <c r="I28" i="3"/>
  <c r="I39" i="3"/>
  <c r="I45" i="3"/>
  <c r="I49" i="3"/>
  <c r="I37" i="3"/>
  <c r="I38" i="3"/>
</calcChain>
</file>

<file path=xl/sharedStrings.xml><?xml version="1.0" encoding="utf-8"?>
<sst xmlns="http://schemas.openxmlformats.org/spreadsheetml/2006/main" count="4729" uniqueCount="1698">
  <si>
    <t>S/N</t>
  </si>
  <si>
    <t>Staff ID</t>
  </si>
  <si>
    <t>Staff Name</t>
  </si>
  <si>
    <t>First Name</t>
  </si>
  <si>
    <t>Last Name</t>
  </si>
  <si>
    <t>Divison</t>
  </si>
  <si>
    <t>Department</t>
  </si>
  <si>
    <t>Job Role</t>
  </si>
  <si>
    <t>Gender</t>
  </si>
  <si>
    <t>Date of Birth</t>
  </si>
  <si>
    <t>Age</t>
  </si>
  <si>
    <t>Age Range</t>
  </si>
  <si>
    <t>Employment Date</t>
  </si>
  <si>
    <t>Length of Stay (LOS)</t>
  </si>
  <si>
    <t>LOS Range</t>
  </si>
  <si>
    <t>Location</t>
  </si>
  <si>
    <t>Grade</t>
  </si>
  <si>
    <t>Basic Salary</t>
  </si>
  <si>
    <t>Performance Score</t>
  </si>
  <si>
    <t>AN00008</t>
  </si>
  <si>
    <t>Abisoye,Zachius</t>
  </si>
  <si>
    <t>Abisoye</t>
  </si>
  <si>
    <t>Zachius</t>
  </si>
  <si>
    <t>Designs</t>
  </si>
  <si>
    <t>Colour Consultant</t>
  </si>
  <si>
    <t>Female</t>
  </si>
  <si>
    <t>02-01-1989</t>
  </si>
  <si>
    <t>06-02-2008</t>
  </si>
  <si>
    <t>Lagos</t>
  </si>
  <si>
    <t>Graduate Trainee</t>
  </si>
  <si>
    <t>AN00024</t>
  </si>
  <si>
    <t>Adeponle,Clementina</t>
  </si>
  <si>
    <t>Adeponle</t>
  </si>
  <si>
    <t>Clementina</t>
  </si>
  <si>
    <t>CSC</t>
  </si>
  <si>
    <t>Design</t>
  </si>
  <si>
    <t>12-25-1987</t>
  </si>
  <si>
    <t>04-22-2013</t>
  </si>
  <si>
    <t>AN00040</t>
  </si>
  <si>
    <t>Agbeyomi,Akinjide</t>
  </si>
  <si>
    <t>Agbeyomi</t>
  </si>
  <si>
    <t>Akinjide</t>
  </si>
  <si>
    <t>APP</t>
  </si>
  <si>
    <t>Technical</t>
  </si>
  <si>
    <t>Raw Material Analyst</t>
  </si>
  <si>
    <t>10-10-1991</t>
  </si>
  <si>
    <t>08-04-2008</t>
  </si>
  <si>
    <t>Abuja</t>
  </si>
  <si>
    <t>AN00001</t>
  </si>
  <si>
    <t>Abayomi,Sunday</t>
  </si>
  <si>
    <t>Abayomi</t>
  </si>
  <si>
    <t>Sunday</t>
  </si>
  <si>
    <t>Plant &amp; Maintenance</t>
  </si>
  <si>
    <t>Manufacturing Team Lead</t>
  </si>
  <si>
    <t>04-12-1988</t>
  </si>
  <si>
    <t>10-15-2003</t>
  </si>
  <si>
    <t>Ogun</t>
  </si>
  <si>
    <t>AN00002</t>
  </si>
  <si>
    <t>Abdul-Kareem,Folake</t>
  </si>
  <si>
    <t>Abdul-Kareem</t>
  </si>
  <si>
    <t>Folake</t>
  </si>
  <si>
    <t>PAN</t>
  </si>
  <si>
    <t>Filling Line Team Lead</t>
  </si>
  <si>
    <t>Male</t>
  </si>
  <si>
    <t>08-29-1972</t>
  </si>
  <si>
    <t>01-02-2002</t>
  </si>
  <si>
    <t>Oyo</t>
  </si>
  <si>
    <t>AN00003</t>
  </si>
  <si>
    <t>Abdulwahab,Olawale</t>
  </si>
  <si>
    <t>Abdulwahab</t>
  </si>
  <si>
    <t>Olawale</t>
  </si>
  <si>
    <t>Inplant Team Lead</t>
  </si>
  <si>
    <t>10-31-1991</t>
  </si>
  <si>
    <t>04-26-2004</t>
  </si>
  <si>
    <t>AN00004</t>
  </si>
  <si>
    <t>Abegunrin,Dare</t>
  </si>
  <si>
    <t>Abegunrin</t>
  </si>
  <si>
    <t>Dare</t>
  </si>
  <si>
    <t>Sales</t>
  </si>
  <si>
    <t>Sales Executive</t>
  </si>
  <si>
    <t>11-18-1987</t>
  </si>
  <si>
    <t>03-09-2009</t>
  </si>
  <si>
    <t>AN00005</t>
  </si>
  <si>
    <t>Abiodun-Afolabi,Fadekemi</t>
  </si>
  <si>
    <t>Abiodun-Afolabi</t>
  </si>
  <si>
    <t>Fadekemi</t>
  </si>
  <si>
    <t>Machine Operator</t>
  </si>
  <si>
    <t>08-18-1983</t>
  </si>
  <si>
    <t>05-02-1997</t>
  </si>
  <si>
    <t>AN00006</t>
  </si>
  <si>
    <t>Abiola,Babatunde</t>
  </si>
  <si>
    <t>Abiola</t>
  </si>
  <si>
    <t>Babatunde</t>
  </si>
  <si>
    <t>11-02-1984</t>
  </si>
  <si>
    <t>AN00007</t>
  </si>
  <si>
    <t>Abiri,Olayinka</t>
  </si>
  <si>
    <t>Abiri</t>
  </si>
  <si>
    <t>Olayinka</t>
  </si>
  <si>
    <t>08-20-1992</t>
  </si>
  <si>
    <t>Enugu</t>
  </si>
  <si>
    <t>AN00009</t>
  </si>
  <si>
    <t>Adebanjo,Kemi</t>
  </si>
  <si>
    <t>Adebanjo</t>
  </si>
  <si>
    <t>Kemi</t>
  </si>
  <si>
    <t>09-01-2008</t>
  </si>
  <si>
    <t>AN00010</t>
  </si>
  <si>
    <t>Adegbite,James</t>
  </si>
  <si>
    <t>Adegbite</t>
  </si>
  <si>
    <t>James</t>
  </si>
  <si>
    <t>03-13-1995</t>
  </si>
  <si>
    <t>AN00011</t>
  </si>
  <si>
    <t>Adegbola,Idowu</t>
  </si>
  <si>
    <t>Adegbola</t>
  </si>
  <si>
    <t>Idowu</t>
  </si>
  <si>
    <t>02-28-1988</t>
  </si>
  <si>
    <t>AN00012</t>
  </si>
  <si>
    <t>Adegoke,Joseph</t>
  </si>
  <si>
    <t>Adegoke</t>
  </si>
  <si>
    <t>Joseph</t>
  </si>
  <si>
    <t>03-11-1989</t>
  </si>
  <si>
    <t>03-08-2004</t>
  </si>
  <si>
    <t>Delta</t>
  </si>
  <si>
    <t>AN00013</t>
  </si>
  <si>
    <t>Adegoke,Adewusi</t>
  </si>
  <si>
    <t>Adewusi</t>
  </si>
  <si>
    <t>01-01-1991</t>
  </si>
  <si>
    <t>04-03-2006</t>
  </si>
  <si>
    <t>AN00014</t>
  </si>
  <si>
    <t>Adejola,Adeniyi</t>
  </si>
  <si>
    <t>Adejola</t>
  </si>
  <si>
    <t>Adeniyi</t>
  </si>
  <si>
    <t>Key Accounts Manager (T2)</t>
  </si>
  <si>
    <t>06-24-1996</t>
  </si>
  <si>
    <t>07-01-2001</t>
  </si>
  <si>
    <t>AN00015</t>
  </si>
  <si>
    <t>Adejumo,Adetunji</t>
  </si>
  <si>
    <t>Adejumo</t>
  </si>
  <si>
    <t>Adetunji</t>
  </si>
  <si>
    <t>08-22-1985</t>
  </si>
  <si>
    <t>03-01-2010</t>
  </si>
  <si>
    <t>AN00016</t>
  </si>
  <si>
    <t>Ayoola,Oluwatobi</t>
  </si>
  <si>
    <t>Ayoola</t>
  </si>
  <si>
    <t>Oluwatobi</t>
  </si>
  <si>
    <t>12-26-1981</t>
  </si>
  <si>
    <t>AN00017</t>
  </si>
  <si>
    <t>Adeleke,Jeleel</t>
  </si>
  <si>
    <t>Adeleke</t>
  </si>
  <si>
    <t>Jeleel</t>
  </si>
  <si>
    <t>05-28-1992</t>
  </si>
  <si>
    <t>09-09-2002</t>
  </si>
  <si>
    <t>AN00018</t>
  </si>
  <si>
    <t>Adeniran,Adeyemi</t>
  </si>
  <si>
    <t>Adeniran</t>
  </si>
  <si>
    <t>Adeyemi</t>
  </si>
  <si>
    <t>05-25-1990</t>
  </si>
  <si>
    <t>AN00019</t>
  </si>
  <si>
    <t>Adeniran,Adesina</t>
  </si>
  <si>
    <t>Adesina</t>
  </si>
  <si>
    <t>03-11-1996</t>
  </si>
  <si>
    <t>AN00020</t>
  </si>
  <si>
    <t>Adeniyi,Babatunde</t>
  </si>
  <si>
    <t>06-20-1993</t>
  </si>
  <si>
    <t>06-10-2010</t>
  </si>
  <si>
    <t>AN00021</t>
  </si>
  <si>
    <t>Adeogun,Esther</t>
  </si>
  <si>
    <t>Adeogun</t>
  </si>
  <si>
    <t>Esther</t>
  </si>
  <si>
    <t>03-20-1996</t>
  </si>
  <si>
    <t>AN00022</t>
  </si>
  <si>
    <t>Adeoye,Abiodun</t>
  </si>
  <si>
    <t>Adeoye</t>
  </si>
  <si>
    <t>Abiodun</t>
  </si>
  <si>
    <t>05-01-1991</t>
  </si>
  <si>
    <t>06-14-2010</t>
  </si>
  <si>
    <t>AN00023</t>
  </si>
  <si>
    <t>Adepoju,Adeloye</t>
  </si>
  <si>
    <t>Adepoju</t>
  </si>
  <si>
    <t>Adeloye</t>
  </si>
  <si>
    <t>04-04-1993</t>
  </si>
  <si>
    <t>AN00025</t>
  </si>
  <si>
    <t>Adesogbon,Abiola</t>
  </si>
  <si>
    <t>Adesogbon</t>
  </si>
  <si>
    <t>05-10-1980</t>
  </si>
  <si>
    <t>03-09-2004</t>
  </si>
  <si>
    <t>Rivers</t>
  </si>
  <si>
    <t>AN00026</t>
  </si>
  <si>
    <t>Adesola,Afolabi</t>
  </si>
  <si>
    <t>Adesola</t>
  </si>
  <si>
    <t>Afolabi</t>
  </si>
  <si>
    <t>02-13-1982</t>
  </si>
  <si>
    <t>01-03-2012</t>
  </si>
  <si>
    <t>AN00027</t>
  </si>
  <si>
    <t>Adesope,Wasiu</t>
  </si>
  <si>
    <t>Adesope</t>
  </si>
  <si>
    <t>Wasiu</t>
  </si>
  <si>
    <t>03-06-1979</t>
  </si>
  <si>
    <t>07-17-2012</t>
  </si>
  <si>
    <t>AN00028</t>
  </si>
  <si>
    <t>Adesunloye,Katrina</t>
  </si>
  <si>
    <t>Adesunloye</t>
  </si>
  <si>
    <t>Katrina</t>
  </si>
  <si>
    <t>03-02-1991</t>
  </si>
  <si>
    <t>08-13-2012</t>
  </si>
  <si>
    <t>AN00029</t>
  </si>
  <si>
    <t>Adetisola,Adeniyi</t>
  </si>
  <si>
    <t>Adetisola</t>
  </si>
  <si>
    <t>07-01-1994</t>
  </si>
  <si>
    <t>AN00030</t>
  </si>
  <si>
    <t>Adewunmi,Olugbenga</t>
  </si>
  <si>
    <t>Adewunmi</t>
  </si>
  <si>
    <t>Olugbenga</t>
  </si>
  <si>
    <t>09-07-1992</t>
  </si>
  <si>
    <t>11-19-2012</t>
  </si>
  <si>
    <t>AN00031</t>
  </si>
  <si>
    <t>Adeyeba,Emmanuel</t>
  </si>
  <si>
    <t>Adeyeba</t>
  </si>
  <si>
    <t>Emmanuel</t>
  </si>
  <si>
    <t>06-14-1987</t>
  </si>
  <si>
    <t>AN00032</t>
  </si>
  <si>
    <t>Adeyemi,James</t>
  </si>
  <si>
    <t>Supply Chain</t>
  </si>
  <si>
    <t>WH Supervisor, FG</t>
  </si>
  <si>
    <t>10-30-1994</t>
  </si>
  <si>
    <t>AN00033</t>
  </si>
  <si>
    <t>Adeyemo,Olawale</t>
  </si>
  <si>
    <t>Adeyemo</t>
  </si>
  <si>
    <t>Invoicing Officer</t>
  </si>
  <si>
    <t>06-23-1978</t>
  </si>
  <si>
    <t>12-17-2012</t>
  </si>
  <si>
    <t>AN00034</t>
  </si>
  <si>
    <t>Adma,Joseph</t>
  </si>
  <si>
    <t>Adma</t>
  </si>
  <si>
    <t>03-31-1979</t>
  </si>
  <si>
    <t>AN00035</t>
  </si>
  <si>
    <t>Afe,Oluwatoyin</t>
  </si>
  <si>
    <t>Afe</t>
  </si>
  <si>
    <t>Oluwatoyin</t>
  </si>
  <si>
    <t>PI &amp; ISO Specialist</t>
  </si>
  <si>
    <t>03-15-1996</t>
  </si>
  <si>
    <t>01-16-2013</t>
  </si>
  <si>
    <t>AN00036</t>
  </si>
  <si>
    <t>Afolabi,Abolade</t>
  </si>
  <si>
    <t>Abolade</t>
  </si>
  <si>
    <t>Finished Goods Analyst</t>
  </si>
  <si>
    <t>07-10-1980</t>
  </si>
  <si>
    <t>Kaduna</t>
  </si>
  <si>
    <t>AN00037</t>
  </si>
  <si>
    <t>Afolabi,Adeyemi</t>
  </si>
  <si>
    <t>Lab Technician</t>
  </si>
  <si>
    <t>10-18-1990</t>
  </si>
  <si>
    <t>03-01-2013</t>
  </si>
  <si>
    <t>AN00038</t>
  </si>
  <si>
    <t>Agbaje,Olubunmi</t>
  </si>
  <si>
    <t>Agbaje</t>
  </si>
  <si>
    <t>Olubunmi</t>
  </si>
  <si>
    <t>07-01-1989</t>
  </si>
  <si>
    <t>AN00039</t>
  </si>
  <si>
    <t>Agbator,Ikponmwose</t>
  </si>
  <si>
    <t>Agbator</t>
  </si>
  <si>
    <t>Ikponmwose</t>
  </si>
  <si>
    <t>05-25-1994</t>
  </si>
  <si>
    <t>05-17-2010</t>
  </si>
  <si>
    <t>AN00041</t>
  </si>
  <si>
    <t>Agbo,Eucheria</t>
  </si>
  <si>
    <t>Agbo</t>
  </si>
  <si>
    <t>Eucheria</t>
  </si>
  <si>
    <t>Tinting Machine Tech</t>
  </si>
  <si>
    <t>01-27-2004</t>
  </si>
  <si>
    <t>AN00042</t>
  </si>
  <si>
    <t>Ahmed,Oluwasola</t>
  </si>
  <si>
    <t>Ahmed</t>
  </si>
  <si>
    <t>Oluwasola</t>
  </si>
  <si>
    <t>Colour Matcher</t>
  </si>
  <si>
    <t>07-23-1982</t>
  </si>
  <si>
    <t>AN00043</t>
  </si>
  <si>
    <t>Aibaogun,Israel</t>
  </si>
  <si>
    <t>Aibaogun</t>
  </si>
  <si>
    <t>Israel</t>
  </si>
  <si>
    <t>03-16-1990</t>
  </si>
  <si>
    <t>12-22-2008</t>
  </si>
  <si>
    <t>AN00044</t>
  </si>
  <si>
    <t>Aideloje,Omoikhudu</t>
  </si>
  <si>
    <t>Aideloje</t>
  </si>
  <si>
    <t>Omoikhudu</t>
  </si>
  <si>
    <t>11-20-1988</t>
  </si>
  <si>
    <t>05-04-2010</t>
  </si>
  <si>
    <t>AN00045</t>
  </si>
  <si>
    <t>Ajala,Rufus</t>
  </si>
  <si>
    <t>Ajala</t>
  </si>
  <si>
    <t>Rufus</t>
  </si>
  <si>
    <t>Chemist - Solvent Based</t>
  </si>
  <si>
    <t>11-03-1990</t>
  </si>
  <si>
    <t>06-01-2005</t>
  </si>
  <si>
    <t>AN00046</t>
  </si>
  <si>
    <t>Ajele,Olusola</t>
  </si>
  <si>
    <t>Ajele</t>
  </si>
  <si>
    <t>Olusola</t>
  </si>
  <si>
    <t>09-19-1980</t>
  </si>
  <si>
    <t>AN00047</t>
  </si>
  <si>
    <t>Ajilore,Temitope</t>
  </si>
  <si>
    <t>Ajilore</t>
  </si>
  <si>
    <t>Temitope</t>
  </si>
  <si>
    <t>HSE Officer</t>
  </si>
  <si>
    <t>10-20-1984</t>
  </si>
  <si>
    <t>04-01-2009</t>
  </si>
  <si>
    <t>AN00048</t>
  </si>
  <si>
    <t>Akainy,Edughom</t>
  </si>
  <si>
    <t>Akainy</t>
  </si>
  <si>
    <t>Edughom</t>
  </si>
  <si>
    <t>07-06-1988</t>
  </si>
  <si>
    <t>06-09-2003</t>
  </si>
  <si>
    <t>AN00049</t>
  </si>
  <si>
    <t>Akande,Olugbenga</t>
  </si>
  <si>
    <t>Akande</t>
  </si>
  <si>
    <t>Incan Tinting Team Lead</t>
  </si>
  <si>
    <t>04-25-1979</t>
  </si>
  <si>
    <t>08-22-2011</t>
  </si>
  <si>
    <t>AN00050</t>
  </si>
  <si>
    <t>Akano,Smart</t>
  </si>
  <si>
    <t>Akano</t>
  </si>
  <si>
    <t>Smart</t>
  </si>
  <si>
    <t>Finance</t>
  </si>
  <si>
    <t>Bank Reconciliation Officer</t>
  </si>
  <si>
    <t>05-21-1993</t>
  </si>
  <si>
    <t>08-18-2008</t>
  </si>
  <si>
    <t>AN00051</t>
  </si>
  <si>
    <t>Akinbola,Babatunde</t>
  </si>
  <si>
    <t>Akinbola</t>
  </si>
  <si>
    <t>Accounts Payable Officer</t>
  </si>
  <si>
    <t>02-06-1985</t>
  </si>
  <si>
    <t>11-01-2006</t>
  </si>
  <si>
    <t>AN00052</t>
  </si>
  <si>
    <t>Akinde,Arike</t>
  </si>
  <si>
    <t>Akinde</t>
  </si>
  <si>
    <t>Arike</t>
  </si>
  <si>
    <t>Information Technology</t>
  </si>
  <si>
    <t>Systems/ User Support Officer</t>
  </si>
  <si>
    <t>11-14-1991</t>
  </si>
  <si>
    <t>11-01-2001</t>
  </si>
  <si>
    <t>AN00053</t>
  </si>
  <si>
    <t>Akindun,Oluwabunmi</t>
  </si>
  <si>
    <t>Akindun</t>
  </si>
  <si>
    <t>Oluwabunmi</t>
  </si>
  <si>
    <t>Distr &amp; WH Supervisor, Oregun</t>
  </si>
  <si>
    <t>09-19-1984</t>
  </si>
  <si>
    <t>AN00054</t>
  </si>
  <si>
    <t>Akinola,Olubodun</t>
  </si>
  <si>
    <t>Akinola</t>
  </si>
  <si>
    <t>Olubodun</t>
  </si>
  <si>
    <t>Marketing</t>
  </si>
  <si>
    <t>Careline Rep</t>
  </si>
  <si>
    <t>12-10-1999</t>
  </si>
  <si>
    <t>04-01-1998</t>
  </si>
  <si>
    <t>AN00055</t>
  </si>
  <si>
    <t>Akinseesin,Olatunji</t>
  </si>
  <si>
    <t>Akinseesin</t>
  </si>
  <si>
    <t>Olatunji</t>
  </si>
  <si>
    <t>10-01-1980</t>
  </si>
  <si>
    <t>12-01-2011</t>
  </si>
  <si>
    <t>AN00056</t>
  </si>
  <si>
    <t>Akinsowon,Folajimi</t>
  </si>
  <si>
    <t>Akinsowon</t>
  </si>
  <si>
    <t>Folajimi</t>
  </si>
  <si>
    <t>Inplant Tinting Tech</t>
  </si>
  <si>
    <t>04-05-1994</t>
  </si>
  <si>
    <t>AN00057</t>
  </si>
  <si>
    <t>Akintokun,Johnson</t>
  </si>
  <si>
    <t>Akintokun</t>
  </si>
  <si>
    <t>Johnson</t>
  </si>
  <si>
    <t>Manufacturing Teamlead</t>
  </si>
  <si>
    <t>12-23-1990</t>
  </si>
  <si>
    <t>AN00058</t>
  </si>
  <si>
    <t>Akinwale,Samuel</t>
  </si>
  <si>
    <t>Akinwale</t>
  </si>
  <si>
    <t>Samuel</t>
  </si>
  <si>
    <t>02-04-1988</t>
  </si>
  <si>
    <t>AN00059</t>
  </si>
  <si>
    <t>Akinwunmi,Rasaq</t>
  </si>
  <si>
    <t>Akinwunmi</t>
  </si>
  <si>
    <t>Rasaq</t>
  </si>
  <si>
    <t>08-06-1986</t>
  </si>
  <si>
    <t>07-09-2012</t>
  </si>
  <si>
    <t>AN00060</t>
  </si>
  <si>
    <t>Akomolafe,Fredrick</t>
  </si>
  <si>
    <t>Akomolafe</t>
  </si>
  <si>
    <t>Fredrick</t>
  </si>
  <si>
    <t>Factory Tech</t>
  </si>
  <si>
    <t>04-28-1996</t>
  </si>
  <si>
    <t>07-23-2012</t>
  </si>
  <si>
    <t>AN00061</t>
  </si>
  <si>
    <t>Akowe,Simon</t>
  </si>
  <si>
    <t>Akowe</t>
  </si>
  <si>
    <t>Simon</t>
  </si>
  <si>
    <t>06-07-1992</t>
  </si>
  <si>
    <t>05-14-2012</t>
  </si>
  <si>
    <t>AN00062</t>
  </si>
  <si>
    <t>Akubuiro,Chinedu</t>
  </si>
  <si>
    <t>Akubuiro</t>
  </si>
  <si>
    <t>Chinedu</t>
  </si>
  <si>
    <t>10-10-2000</t>
  </si>
  <si>
    <t>07-11-2012</t>
  </si>
  <si>
    <t>AN00063</t>
  </si>
  <si>
    <t>Oseni,Oyetoun</t>
  </si>
  <si>
    <t>Oseni</t>
  </si>
  <si>
    <t>Oyetoun</t>
  </si>
  <si>
    <t>AN00064</t>
  </si>
  <si>
    <t>Alegbeleye,Dayo</t>
  </si>
  <si>
    <t>Alegbeleye</t>
  </si>
  <si>
    <t>Dayo</t>
  </si>
  <si>
    <t>12-01-1990</t>
  </si>
  <si>
    <t>10-03-2008</t>
  </si>
  <si>
    <t>AN00065</t>
  </si>
  <si>
    <t>Alege,Olusola</t>
  </si>
  <si>
    <t>Alege</t>
  </si>
  <si>
    <t>11-02-1989</t>
  </si>
  <si>
    <t>AN00066</t>
  </si>
  <si>
    <t>Alenkhe,Omonigho</t>
  </si>
  <si>
    <t>Alenkhe</t>
  </si>
  <si>
    <t>Omonigho</t>
  </si>
  <si>
    <t>07-10-1997</t>
  </si>
  <si>
    <t>06-03-2013</t>
  </si>
  <si>
    <t>AN00067</t>
  </si>
  <si>
    <t>Alex-Okoro,Chiedozie</t>
  </si>
  <si>
    <t>Alex-Okoro</t>
  </si>
  <si>
    <t>Chiedozie</t>
  </si>
  <si>
    <t>03-31-1972</t>
  </si>
  <si>
    <t>AN00068</t>
  </si>
  <si>
    <t>Aliyu,Paiko</t>
  </si>
  <si>
    <t>Aliyu</t>
  </si>
  <si>
    <t>Paiko</t>
  </si>
  <si>
    <t>02-08-1995</t>
  </si>
  <si>
    <t>07-15-2013</t>
  </si>
  <si>
    <t>AN00069</t>
  </si>
  <si>
    <t>Alli,Olorunfunmi</t>
  </si>
  <si>
    <t>Alli</t>
  </si>
  <si>
    <t>Olorunfunmi</t>
  </si>
  <si>
    <t>01-14-1998</t>
  </si>
  <si>
    <t>03-14-2012</t>
  </si>
  <si>
    <t>AN00070</t>
  </si>
  <si>
    <t>Aminu,Mohammed</t>
  </si>
  <si>
    <t>Aminu</t>
  </si>
  <si>
    <t>Mohammed</t>
  </si>
  <si>
    <t>02-25-1992</t>
  </si>
  <si>
    <t>08-01-2011</t>
  </si>
  <si>
    <t>AN00071</t>
  </si>
  <si>
    <t>Anifowose,Mathew</t>
  </si>
  <si>
    <t>Anifowose</t>
  </si>
  <si>
    <t>Mathew</t>
  </si>
  <si>
    <t>10-23-1996</t>
  </si>
  <si>
    <t>01-05-2004</t>
  </si>
  <si>
    <t>AN00072</t>
  </si>
  <si>
    <t>Anih,Emmanuel</t>
  </si>
  <si>
    <t>Anih</t>
  </si>
  <si>
    <t>08-01-1985</t>
  </si>
  <si>
    <t>01-17-2002</t>
  </si>
  <si>
    <t>AN00073</t>
  </si>
  <si>
    <t>Anoko,Blessing</t>
  </si>
  <si>
    <t>Anoko</t>
  </si>
  <si>
    <t>Blessing</t>
  </si>
  <si>
    <t>11-06-1995</t>
  </si>
  <si>
    <t>01-02-2001</t>
  </si>
  <si>
    <t>AN00074</t>
  </si>
  <si>
    <t>Anumenechi,Godwin</t>
  </si>
  <si>
    <t>Anumenechi</t>
  </si>
  <si>
    <t>Godwin</t>
  </si>
  <si>
    <t>Packaging Officer</t>
  </si>
  <si>
    <t>05-08-1974</t>
  </si>
  <si>
    <t>09-04-2006</t>
  </si>
  <si>
    <t>AN00075</t>
  </si>
  <si>
    <t>Apata,Gboyega</t>
  </si>
  <si>
    <t>Apata</t>
  </si>
  <si>
    <t>Gboyega</t>
  </si>
  <si>
    <t>02-04-1994</t>
  </si>
  <si>
    <t>01-08-1999</t>
  </si>
  <si>
    <t>AN00076</t>
  </si>
  <si>
    <t>Appah,Shirley</t>
  </si>
  <si>
    <t>Appah</t>
  </si>
  <si>
    <t>Shirley</t>
  </si>
  <si>
    <t>09-23-1991</t>
  </si>
  <si>
    <t>05-17-2004</t>
  </si>
  <si>
    <t>AN00077</t>
  </si>
  <si>
    <t>Ariori,Bolanle</t>
  </si>
  <si>
    <t>Ariori</t>
  </si>
  <si>
    <t>Bolanle</t>
  </si>
  <si>
    <t>Assistant Brand Manager</t>
  </si>
  <si>
    <t>05-12-1996</t>
  </si>
  <si>
    <t>02-02-2003</t>
  </si>
  <si>
    <t>AN00078</t>
  </si>
  <si>
    <t>Asiagwu,Henry</t>
  </si>
  <si>
    <t>Asiagwu</t>
  </si>
  <si>
    <t>Henry</t>
  </si>
  <si>
    <t>Regional Sales Manager</t>
  </si>
  <si>
    <t>01-10-1984</t>
  </si>
  <si>
    <t>03-01-2005</t>
  </si>
  <si>
    <t>AN00079</t>
  </si>
  <si>
    <t>Atobatele,Olanrewaju</t>
  </si>
  <si>
    <t>Atobatele</t>
  </si>
  <si>
    <t>Olanrewaju</t>
  </si>
  <si>
    <t>Procurement Officer</t>
  </si>
  <si>
    <t>09-22-1995</t>
  </si>
  <si>
    <t>AN00080</t>
  </si>
  <si>
    <t>Atoyebi,Rotimi</t>
  </si>
  <si>
    <t>Atoyebi</t>
  </si>
  <si>
    <t>Rotimi</t>
  </si>
  <si>
    <t>Finished Goods Chemist</t>
  </si>
  <si>
    <t>12-08-1993</t>
  </si>
  <si>
    <t>01-05-2003</t>
  </si>
  <si>
    <t>AN00081</t>
  </si>
  <si>
    <t>Aweda,Bisi</t>
  </si>
  <si>
    <t>Aweda</t>
  </si>
  <si>
    <t>Bisi</t>
  </si>
  <si>
    <t>Fixed Assets &amp; Tax Supervisor</t>
  </si>
  <si>
    <t>05-05-1988</t>
  </si>
  <si>
    <t>02-03-2003</t>
  </si>
  <si>
    <t>AN00082</t>
  </si>
  <si>
    <t>Awodele,Olanike</t>
  </si>
  <si>
    <t>Awodele</t>
  </si>
  <si>
    <t>Olanike</t>
  </si>
  <si>
    <t>Cost Accountant</t>
  </si>
  <si>
    <t>12-20-1991</t>
  </si>
  <si>
    <t>11-01-1991</t>
  </si>
  <si>
    <t>AN00083</t>
  </si>
  <si>
    <t>Awodiya,Olubunmi</t>
  </si>
  <si>
    <t>Awodiya</t>
  </si>
  <si>
    <t>Capability Development</t>
  </si>
  <si>
    <t xml:space="preserve">Technical Admin </t>
  </si>
  <si>
    <t>03-05-1989</t>
  </si>
  <si>
    <t>04-04-2005</t>
  </si>
  <si>
    <t>AN00084</t>
  </si>
  <si>
    <t>Awokiyesi,Olusola</t>
  </si>
  <si>
    <t>Awokiyesi</t>
  </si>
  <si>
    <t>Systems/ User Support Specialist</t>
  </si>
  <si>
    <t>05-19-1992</t>
  </si>
  <si>
    <t>02-10-2003</t>
  </si>
  <si>
    <t>AN00085</t>
  </si>
  <si>
    <t>Ayandele,Davis</t>
  </si>
  <si>
    <t>Ayandele</t>
  </si>
  <si>
    <t>Davis</t>
  </si>
  <si>
    <t>Key Accounts Manager (T3)</t>
  </si>
  <si>
    <t>05-22-1986</t>
  </si>
  <si>
    <t>AN00086</t>
  </si>
  <si>
    <t>Ayeni,Abiodun</t>
  </si>
  <si>
    <t>Ayeni</t>
  </si>
  <si>
    <t>Distr &amp; WH Coordinator</t>
  </si>
  <si>
    <t>09-18-1988</t>
  </si>
  <si>
    <t>01-04-2007</t>
  </si>
  <si>
    <t>AN00087</t>
  </si>
  <si>
    <t>Ayinla,Tajudeen</t>
  </si>
  <si>
    <t>Ayinla</t>
  </si>
  <si>
    <t>Tajudeen</t>
  </si>
  <si>
    <t>02-18-1991</t>
  </si>
  <si>
    <t>03-06-2006</t>
  </si>
  <si>
    <t>AN00088</t>
  </si>
  <si>
    <t>Ayodele,Amzat</t>
  </si>
  <si>
    <t>Ayodele</t>
  </si>
  <si>
    <t>Amzat</t>
  </si>
  <si>
    <t>Human Resources</t>
  </si>
  <si>
    <t>Admin &amp; Facilities Coordinator</t>
  </si>
  <si>
    <t>07-06-1989</t>
  </si>
  <si>
    <t>06-01-2004</t>
  </si>
  <si>
    <t>Experienced Officer</t>
  </si>
  <si>
    <t>AN00089</t>
  </si>
  <si>
    <t>Azeez,Adebare</t>
  </si>
  <si>
    <t>Azeez</t>
  </si>
  <si>
    <t>Adebare</t>
  </si>
  <si>
    <t>Trade Marketing &amp; OM Channel Lead</t>
  </si>
  <si>
    <t>09-23-1997</t>
  </si>
  <si>
    <t>01-02-2003</t>
  </si>
  <si>
    <t>AN00090</t>
  </si>
  <si>
    <t>Babatunde,John</t>
  </si>
  <si>
    <t>John</t>
  </si>
  <si>
    <t>R&amp;C</t>
  </si>
  <si>
    <t>Callover Officer</t>
  </si>
  <si>
    <t>08-24-1985</t>
  </si>
  <si>
    <t>01-31-2011</t>
  </si>
  <si>
    <t>AN00091</t>
  </si>
  <si>
    <t>Bakare,Adetayo</t>
  </si>
  <si>
    <t>Bakare</t>
  </si>
  <si>
    <t>Adetayo</t>
  </si>
  <si>
    <t>Project Tech Support Exec.</t>
  </si>
  <si>
    <t>05-30-1993</t>
  </si>
  <si>
    <t>AN00092</t>
  </si>
  <si>
    <t>Balogun,Adetola</t>
  </si>
  <si>
    <t>Balogun</t>
  </si>
  <si>
    <t>Adetola</t>
  </si>
  <si>
    <t>Asst. Retail Expansion Manager</t>
  </si>
  <si>
    <t>06-19-2002</t>
  </si>
  <si>
    <t>09-02-2013</t>
  </si>
  <si>
    <t>AN00093</t>
  </si>
  <si>
    <t>Balogun,Ibrahim</t>
  </si>
  <si>
    <t>Ibrahim</t>
  </si>
  <si>
    <t>02-03-1990</t>
  </si>
  <si>
    <t>01-13-2014</t>
  </si>
  <si>
    <t>AN00094</t>
  </si>
  <si>
    <t>Balogun,Alani</t>
  </si>
  <si>
    <t>Alani</t>
  </si>
  <si>
    <t>Imports Specialist</t>
  </si>
  <si>
    <t>12-29-1983</t>
  </si>
  <si>
    <t>09-08-2004</t>
  </si>
  <si>
    <t>AN00095</t>
  </si>
  <si>
    <t>Bandele,Olajumoke</t>
  </si>
  <si>
    <t>Bandele</t>
  </si>
  <si>
    <t>Olajumoke</t>
  </si>
  <si>
    <t>Maintenance TeamLead</t>
  </si>
  <si>
    <t>10-19-1977</t>
  </si>
  <si>
    <t>AN00096</t>
  </si>
  <si>
    <t>Bankole,Chinyere</t>
  </si>
  <si>
    <t>Bankole</t>
  </si>
  <si>
    <t>Chinyere</t>
  </si>
  <si>
    <t>Regional Colour Consultant</t>
  </si>
  <si>
    <t>02-08-1993</t>
  </si>
  <si>
    <t>03-12-2014</t>
  </si>
  <si>
    <t>Plateau</t>
  </si>
  <si>
    <t>AN00097</t>
  </si>
  <si>
    <t>Bella,Bankole</t>
  </si>
  <si>
    <t>Bella</t>
  </si>
  <si>
    <t>04-29-1979</t>
  </si>
  <si>
    <t>Kano</t>
  </si>
  <si>
    <t>AN00098</t>
  </si>
  <si>
    <t>Benjamin,Ifeanyi</t>
  </si>
  <si>
    <t>Benjamin</t>
  </si>
  <si>
    <t>Ifeanyi</t>
  </si>
  <si>
    <t>02-17-1974</t>
  </si>
  <si>
    <t>03-03-2008</t>
  </si>
  <si>
    <t>AN00099</t>
  </si>
  <si>
    <t>Braimah,Kingsley</t>
  </si>
  <si>
    <t>Braimah</t>
  </si>
  <si>
    <t>Kingsley</t>
  </si>
  <si>
    <t>Communications</t>
  </si>
  <si>
    <t>Internal Comms Specialist</t>
  </si>
  <si>
    <t>02-19-1999</t>
  </si>
  <si>
    <t>10-04-2002</t>
  </si>
  <si>
    <t>AN00100</t>
  </si>
  <si>
    <t>Chidume,Kainebi</t>
  </si>
  <si>
    <t>Chidume</t>
  </si>
  <si>
    <t>Kainebi</t>
  </si>
  <si>
    <t>Accounts Payable &amp; Payroll Supv</t>
  </si>
  <si>
    <t>03-03-1990</t>
  </si>
  <si>
    <t>02-01-2007</t>
  </si>
  <si>
    <t>AN00101</t>
  </si>
  <si>
    <t>Chukwu,Uchenwa</t>
  </si>
  <si>
    <t>Chukwu</t>
  </si>
  <si>
    <t>Uchenwa</t>
  </si>
  <si>
    <t>Credit Control &amp; Insurance Supervisor</t>
  </si>
  <si>
    <t>02-02-1996</t>
  </si>
  <si>
    <t>07-01-2014</t>
  </si>
  <si>
    <t>AN00102</t>
  </si>
  <si>
    <t>Chukwu,Benedicta</t>
  </si>
  <si>
    <t>Benedicta</t>
  </si>
  <si>
    <t>HRBP Commercial</t>
  </si>
  <si>
    <t>07-08-1998</t>
  </si>
  <si>
    <t>AN00103</t>
  </si>
  <si>
    <t>Chukwuemeka,David</t>
  </si>
  <si>
    <t>Chukwuemeka</t>
  </si>
  <si>
    <t>David</t>
  </si>
  <si>
    <t>Legal</t>
  </si>
  <si>
    <t>Legal Counsel</t>
  </si>
  <si>
    <t>02-04-1986</t>
  </si>
  <si>
    <t>05-26-2014</t>
  </si>
  <si>
    <t>AN00104</t>
  </si>
  <si>
    <t>Collins,Daniel</t>
  </si>
  <si>
    <t>Collins</t>
  </si>
  <si>
    <t>Daniel</t>
  </si>
  <si>
    <t>Digital Brand /Media Manager</t>
  </si>
  <si>
    <t>08-11-1994</t>
  </si>
  <si>
    <t>10-01-2014</t>
  </si>
  <si>
    <t>AN00105</t>
  </si>
  <si>
    <t>Dada,Babatope</t>
  </si>
  <si>
    <t>Dada</t>
  </si>
  <si>
    <t>Babatope</t>
  </si>
  <si>
    <t>Md'S Office</t>
  </si>
  <si>
    <t>Executive Assistant to MD</t>
  </si>
  <si>
    <t>10-12-1992</t>
  </si>
  <si>
    <t>09-03-2012</t>
  </si>
  <si>
    <t>AN00106</t>
  </si>
  <si>
    <t>Dada,Ayodeji</t>
  </si>
  <si>
    <t>Ayodeji</t>
  </si>
  <si>
    <t>Business Development Manager</t>
  </si>
  <si>
    <t>09-12-1994</t>
  </si>
  <si>
    <t>07-01-2009</t>
  </si>
  <si>
    <t>AN00107</t>
  </si>
  <si>
    <t>Dada,Olayinka.D.</t>
  </si>
  <si>
    <t>Olayinka.D.</t>
  </si>
  <si>
    <t>07-30-1983</t>
  </si>
  <si>
    <t>03-10-2015</t>
  </si>
  <si>
    <t>AN00108</t>
  </si>
  <si>
    <t>Disu,Rasheed</t>
  </si>
  <si>
    <t>Disu</t>
  </si>
  <si>
    <t>Rasheed</t>
  </si>
  <si>
    <t>12-25-1993</t>
  </si>
  <si>
    <t>06-01-2015</t>
  </si>
  <si>
    <t>AN00109</t>
  </si>
  <si>
    <t>Durosomo,Adekunle</t>
  </si>
  <si>
    <t>Durosomo</t>
  </si>
  <si>
    <t>Adekunle</t>
  </si>
  <si>
    <t>10-07-1990</t>
  </si>
  <si>
    <t>06-15-2015</t>
  </si>
  <si>
    <t>AN00110</t>
  </si>
  <si>
    <t>Echekwu,Rowland</t>
  </si>
  <si>
    <t>Echekwu</t>
  </si>
  <si>
    <t>Rowland</t>
  </si>
  <si>
    <t>06-05-1994</t>
  </si>
  <si>
    <t>AN00111</t>
  </si>
  <si>
    <t>Edet,Nyong</t>
  </si>
  <si>
    <t>Edet</t>
  </si>
  <si>
    <t>Nyong</t>
  </si>
  <si>
    <t>09-20-1998</t>
  </si>
  <si>
    <t>AN00112</t>
  </si>
  <si>
    <t>Egume,Oneme</t>
  </si>
  <si>
    <t>Egume</t>
  </si>
  <si>
    <t>Oneme</t>
  </si>
  <si>
    <t>02-16-1986</t>
  </si>
  <si>
    <t>AN00113</t>
  </si>
  <si>
    <t>Ehimen,Ebanehita</t>
  </si>
  <si>
    <t>Ehimen</t>
  </si>
  <si>
    <t>Ebanehita</t>
  </si>
  <si>
    <t>08-07-1987</t>
  </si>
  <si>
    <t>Adamawa</t>
  </si>
  <si>
    <t>AN00114</t>
  </si>
  <si>
    <t>Ejeh,Anthony</t>
  </si>
  <si>
    <t>Ejeh</t>
  </si>
  <si>
    <t>Anthony</t>
  </si>
  <si>
    <t>12-21-1989</t>
  </si>
  <si>
    <t>Gombe</t>
  </si>
  <si>
    <t>AN00115</t>
  </si>
  <si>
    <t>Odega,Thecla</t>
  </si>
  <si>
    <t>Odega</t>
  </si>
  <si>
    <t>Thecla</t>
  </si>
  <si>
    <t>06-20-1988</t>
  </si>
  <si>
    <t>07-06-2015</t>
  </si>
  <si>
    <t>AN00116</t>
  </si>
  <si>
    <t>Ekpenyong,Nyong</t>
  </si>
  <si>
    <t>Ekpenyong</t>
  </si>
  <si>
    <t>01-29-2000</t>
  </si>
  <si>
    <t>07-13-2015</t>
  </si>
  <si>
    <t>AN00117</t>
  </si>
  <si>
    <t>Ekpunobi,Obinna</t>
  </si>
  <si>
    <t>Ekpunobi</t>
  </si>
  <si>
    <t>Obinna</t>
  </si>
  <si>
    <t>04-09-1994</t>
  </si>
  <si>
    <t>03-01-2007</t>
  </si>
  <si>
    <t>AN00118</t>
  </si>
  <si>
    <t>Eletuobi,Remigius</t>
  </si>
  <si>
    <t>Eletuobi</t>
  </si>
  <si>
    <t>Remigius</t>
  </si>
  <si>
    <t>06-03-1997</t>
  </si>
  <si>
    <t>03-13-2006</t>
  </si>
  <si>
    <t>AN00119</t>
  </si>
  <si>
    <t>Elonye,Chukwuemeka</t>
  </si>
  <si>
    <t>Elonye</t>
  </si>
  <si>
    <t>08-15-1980</t>
  </si>
  <si>
    <t>AN00120</t>
  </si>
  <si>
    <t>Elue,Adam</t>
  </si>
  <si>
    <t>Elue</t>
  </si>
  <si>
    <t>Adam</t>
  </si>
  <si>
    <t>10-22-1998</t>
  </si>
  <si>
    <t>AN00121</t>
  </si>
  <si>
    <t>Emele,Ngozi</t>
  </si>
  <si>
    <t>Emele</t>
  </si>
  <si>
    <t>Ngozi</t>
  </si>
  <si>
    <t>06-26-1993</t>
  </si>
  <si>
    <t>AN00122</t>
  </si>
  <si>
    <t>Emiloju,Adenike</t>
  </si>
  <si>
    <t>Emiloju</t>
  </si>
  <si>
    <t>Adenike</t>
  </si>
  <si>
    <t>03-16-1996</t>
  </si>
  <si>
    <t>AN00123</t>
  </si>
  <si>
    <t>Emokaro,Edoseghe</t>
  </si>
  <si>
    <t>Emokaro</t>
  </si>
  <si>
    <t>Edoseghe</t>
  </si>
  <si>
    <t>Retail Expansion Manager</t>
  </si>
  <si>
    <t>11-05-1997</t>
  </si>
  <si>
    <t>03-22-2012</t>
  </si>
  <si>
    <t>AN00124</t>
  </si>
  <si>
    <t>Eniolorunda,Timothy</t>
  </si>
  <si>
    <t>Eniolorunda</t>
  </si>
  <si>
    <t>Timothy</t>
  </si>
  <si>
    <t>08-20-2002</t>
  </si>
  <si>
    <t>02-11-2013</t>
  </si>
  <si>
    <t>AN00125</t>
  </si>
  <si>
    <t>Eyo,Martin</t>
  </si>
  <si>
    <t>Eyo</t>
  </si>
  <si>
    <t>Martin</t>
  </si>
  <si>
    <t>04-16-1988</t>
  </si>
  <si>
    <t>AN00126</t>
  </si>
  <si>
    <t>Eze,Ekuma</t>
  </si>
  <si>
    <t>Eze</t>
  </si>
  <si>
    <t>Ekuma</t>
  </si>
  <si>
    <t>12-19-1983</t>
  </si>
  <si>
    <t>07-01-2013</t>
  </si>
  <si>
    <t>AN00127</t>
  </si>
  <si>
    <t>Ezeji,Ikechukwu</t>
  </si>
  <si>
    <t>Ezeji</t>
  </si>
  <si>
    <t>Ikechukwu</t>
  </si>
  <si>
    <t>Development Lead</t>
  </si>
  <si>
    <t>05-17-1976</t>
  </si>
  <si>
    <t>03-01-2004</t>
  </si>
  <si>
    <t>AN00128</t>
  </si>
  <si>
    <t>Ezembakwe,Olubusola</t>
  </si>
  <si>
    <t>Ezembakwe</t>
  </si>
  <si>
    <t>Olubusola</t>
  </si>
  <si>
    <t>Management Accountant</t>
  </si>
  <si>
    <t>12-26-1988</t>
  </si>
  <si>
    <t>04-09-2007</t>
  </si>
  <si>
    <t>AN00129</t>
  </si>
  <si>
    <t>Michael,Bridget</t>
  </si>
  <si>
    <t>Michael</t>
  </si>
  <si>
    <t>Bridget</t>
  </si>
  <si>
    <t>Technical Sales Manager</t>
  </si>
  <si>
    <t>03-12-1995</t>
  </si>
  <si>
    <t>10-02-2012</t>
  </si>
  <si>
    <t>AN00130</t>
  </si>
  <si>
    <t>Faboya,Bankole</t>
  </si>
  <si>
    <t>Faboya</t>
  </si>
  <si>
    <t>Production Shift Manager</t>
  </si>
  <si>
    <t>10-18-1985</t>
  </si>
  <si>
    <t>04-18-2011</t>
  </si>
  <si>
    <t>Manager</t>
  </si>
  <si>
    <t>AN00131</t>
  </si>
  <si>
    <t>Fadipe,Babatunde</t>
  </si>
  <si>
    <t>Fadipe</t>
  </si>
  <si>
    <t>Finance Controller</t>
  </si>
  <si>
    <t>01-13-1989</t>
  </si>
  <si>
    <t>01-15-2007</t>
  </si>
  <si>
    <t>AN00132</t>
  </si>
  <si>
    <t>Fajobi,Oluyori</t>
  </si>
  <si>
    <t>Fajobi</t>
  </si>
  <si>
    <t>Oluyori</t>
  </si>
  <si>
    <t>Financial Planning &amp; Analysis Manager</t>
  </si>
  <si>
    <t>03-01-2011</t>
  </si>
  <si>
    <t>AN00133</t>
  </si>
  <si>
    <t>Falana,Olaropo</t>
  </si>
  <si>
    <t>Falana</t>
  </si>
  <si>
    <t>Olaropo</t>
  </si>
  <si>
    <t>Head, Logistics</t>
  </si>
  <si>
    <t>04-03-1993</t>
  </si>
  <si>
    <t>08-03-2015</t>
  </si>
  <si>
    <t>AN00134</t>
  </si>
  <si>
    <t>Farghal,Mohammed</t>
  </si>
  <si>
    <t>Farghal</t>
  </si>
  <si>
    <t>Capability Development Manager</t>
  </si>
  <si>
    <t>06-12-1991</t>
  </si>
  <si>
    <t>04-01-2016</t>
  </si>
  <si>
    <t>AN00135</t>
  </si>
  <si>
    <t>Fashola,Tajudeen</t>
  </si>
  <si>
    <t>Fashola</t>
  </si>
  <si>
    <t>Plant Manager</t>
  </si>
  <si>
    <t>08-10-1997</t>
  </si>
  <si>
    <t>AN00136</t>
  </si>
  <si>
    <t>Fawehinmi,Oshuare</t>
  </si>
  <si>
    <t>Fawehinmi</t>
  </si>
  <si>
    <t>Oshuare</t>
  </si>
  <si>
    <t>Head of Sales</t>
  </si>
  <si>
    <t>01-03-1989</t>
  </si>
  <si>
    <t>11-02-2015</t>
  </si>
  <si>
    <t>AN00137</t>
  </si>
  <si>
    <t>Fesobi,Olufemi</t>
  </si>
  <si>
    <t>Fesobi</t>
  </si>
  <si>
    <t>Olufemi</t>
  </si>
  <si>
    <t>Head of Marketing</t>
  </si>
  <si>
    <t>10-21-1987</t>
  </si>
  <si>
    <t>01-17-2012</t>
  </si>
  <si>
    <t>AN00138</t>
  </si>
  <si>
    <t>Fratila,Dan</t>
  </si>
  <si>
    <t>Fratila</t>
  </si>
  <si>
    <t>Dan</t>
  </si>
  <si>
    <t>Head, Human Resources</t>
  </si>
  <si>
    <t>05-09-1994</t>
  </si>
  <si>
    <t>01-17-2011</t>
  </si>
  <si>
    <t>Edo</t>
  </si>
  <si>
    <t>AN00139</t>
  </si>
  <si>
    <t>Gbadegesin,Bilqis</t>
  </si>
  <si>
    <t>Gbadegesin</t>
  </si>
  <si>
    <t>Bilqis</t>
  </si>
  <si>
    <t>Chief Commercial Officer</t>
  </si>
  <si>
    <t>10-11-1990</t>
  </si>
  <si>
    <t>05-20-2015</t>
  </si>
  <si>
    <t>AN00140</t>
  </si>
  <si>
    <t>Giwa,Muritala</t>
  </si>
  <si>
    <t>Giwa</t>
  </si>
  <si>
    <t>Muritala</t>
  </si>
  <si>
    <t>Utility Tech</t>
  </si>
  <si>
    <t>10-13-1976</t>
  </si>
  <si>
    <t>06-16-2008</t>
  </si>
  <si>
    <t>Anciliary Officer</t>
  </si>
  <si>
    <t>AN00141</t>
  </si>
  <si>
    <t>Greguric,Maja</t>
  </si>
  <si>
    <t>Greguric</t>
  </si>
  <si>
    <t>Maja</t>
  </si>
  <si>
    <t>07-15-1994</t>
  </si>
  <si>
    <t>11-01-2010</t>
  </si>
  <si>
    <t>AN00142</t>
  </si>
  <si>
    <t>Gyebo,Baba-Mabo</t>
  </si>
  <si>
    <t>Gyebo</t>
  </si>
  <si>
    <t>Baba-Mabo</t>
  </si>
  <si>
    <t>Dispatch Officer</t>
  </si>
  <si>
    <t>11-17-1992</t>
  </si>
  <si>
    <t>AN00143</t>
  </si>
  <si>
    <t>Hamza,Godfrey</t>
  </si>
  <si>
    <t>Hamza</t>
  </si>
  <si>
    <t>Godfrey</t>
  </si>
  <si>
    <t>Asst Production Scheduler</t>
  </si>
  <si>
    <t>12-24-1990</t>
  </si>
  <si>
    <t>12-05-2016</t>
  </si>
  <si>
    <t>AN00144</t>
  </si>
  <si>
    <t>Hungbeji,Isaiah</t>
  </si>
  <si>
    <t>Hungbeji</t>
  </si>
  <si>
    <t>Isaiah</t>
  </si>
  <si>
    <t>12-20-1995</t>
  </si>
  <si>
    <t>08-24-2015</t>
  </si>
  <si>
    <t>AN00145</t>
  </si>
  <si>
    <t>Ibe,Godwin</t>
  </si>
  <si>
    <t>Ibe</t>
  </si>
  <si>
    <t>Cleaning/ETP Operator</t>
  </si>
  <si>
    <t>04-13-1983</t>
  </si>
  <si>
    <t>AN00146</t>
  </si>
  <si>
    <t>Ibironke,Gabriel</t>
  </si>
  <si>
    <t>Ibironke</t>
  </si>
  <si>
    <t>Gabriel</t>
  </si>
  <si>
    <t>WH Supervisor, GG</t>
  </si>
  <si>
    <t>03-30-1991</t>
  </si>
  <si>
    <t>06-01-2016</t>
  </si>
  <si>
    <t>AN00147</t>
  </si>
  <si>
    <t>Idowu,Adebola</t>
  </si>
  <si>
    <t>Adebola</t>
  </si>
  <si>
    <t>Intermediate Officer</t>
  </si>
  <si>
    <t>09-06-1992</t>
  </si>
  <si>
    <t>AN00148</t>
  </si>
  <si>
    <t>Idowu,Nwanyibuife</t>
  </si>
  <si>
    <t>Nwanyibuife</t>
  </si>
  <si>
    <t>06-14-2000</t>
  </si>
  <si>
    <t>05-01-2016</t>
  </si>
  <si>
    <t>AN00149</t>
  </si>
  <si>
    <t>Igbinomwahia,Idehen</t>
  </si>
  <si>
    <t>Igbinomwahia</t>
  </si>
  <si>
    <t>Idehen</t>
  </si>
  <si>
    <t>10-24-1986</t>
  </si>
  <si>
    <t>AN00150</t>
  </si>
  <si>
    <t>Ighodaro,Charles</t>
  </si>
  <si>
    <t>Ighodaro</t>
  </si>
  <si>
    <t>Charles</t>
  </si>
  <si>
    <t>AN00151</t>
  </si>
  <si>
    <t>Ihejirika,Christian</t>
  </si>
  <si>
    <t>Ihejirika</t>
  </si>
  <si>
    <t>Christian</t>
  </si>
  <si>
    <t>12-15-1979</t>
  </si>
  <si>
    <t>10-17-2016</t>
  </si>
  <si>
    <t>AN00152</t>
  </si>
  <si>
    <t>Iluromi,Ebenezer</t>
  </si>
  <si>
    <t>Iluromi</t>
  </si>
  <si>
    <t>Ebenezer</t>
  </si>
  <si>
    <t>Solvent Based Operative</t>
  </si>
  <si>
    <t>03-06-1986</t>
  </si>
  <si>
    <t>01-03-2017</t>
  </si>
  <si>
    <t>AN00153</t>
  </si>
  <si>
    <t>Imarhia,Osarenren</t>
  </si>
  <si>
    <t>Imarhia</t>
  </si>
  <si>
    <t>Osarenren</t>
  </si>
  <si>
    <t>04-14-1993</t>
  </si>
  <si>
    <t>01-12-2017</t>
  </si>
  <si>
    <t>AN00154</t>
  </si>
  <si>
    <t>Iruke,Chimezie</t>
  </si>
  <si>
    <t>Iruke</t>
  </si>
  <si>
    <t>Chimezie</t>
  </si>
  <si>
    <t>12-20-1988</t>
  </si>
  <si>
    <t>04-05-2017</t>
  </si>
  <si>
    <t>AN00155</t>
  </si>
  <si>
    <t>Isafiade,Adenrele</t>
  </si>
  <si>
    <t>Isafiade</t>
  </si>
  <si>
    <t>Adenrele</t>
  </si>
  <si>
    <t>Rm Weighing Officer</t>
  </si>
  <si>
    <t>07-06-1992</t>
  </si>
  <si>
    <t>04-03-2017</t>
  </si>
  <si>
    <t>AN00156</t>
  </si>
  <si>
    <t>Iwaeni,Gideon</t>
  </si>
  <si>
    <t>Iwaeni</t>
  </si>
  <si>
    <t>Gideon</t>
  </si>
  <si>
    <t>03-18-1991</t>
  </si>
  <si>
    <t>06-01-2017</t>
  </si>
  <si>
    <t>AN00157</t>
  </si>
  <si>
    <t>Iyoho,Edemekong</t>
  </si>
  <si>
    <t>Iyoho</t>
  </si>
  <si>
    <t>Edemekong</t>
  </si>
  <si>
    <t>08-01-2017</t>
  </si>
  <si>
    <t>Anambra</t>
  </si>
  <si>
    <t>AN00158</t>
  </si>
  <si>
    <t>Jacob,Adenike</t>
  </si>
  <si>
    <t>Jacob</t>
  </si>
  <si>
    <t>02-09-1996</t>
  </si>
  <si>
    <t>09-01-2017</t>
  </si>
  <si>
    <t>AN00159</t>
  </si>
  <si>
    <t>John,Sylvester</t>
  </si>
  <si>
    <t>Sylvester</t>
  </si>
  <si>
    <t>04-27-1978</t>
  </si>
  <si>
    <t>09-25-2017</t>
  </si>
  <si>
    <t>AN00160</t>
  </si>
  <si>
    <t>Juneja,Deepak</t>
  </si>
  <si>
    <t>Juneja</t>
  </si>
  <si>
    <t>Deepak</t>
  </si>
  <si>
    <t>Inplant Operative</t>
  </si>
  <si>
    <t>06-18-1988</t>
  </si>
  <si>
    <t>12-01-2017</t>
  </si>
  <si>
    <t>AN00161</t>
  </si>
  <si>
    <t>Kamoru,Bolaji</t>
  </si>
  <si>
    <t>Kamoru</t>
  </si>
  <si>
    <t>Bolaji</t>
  </si>
  <si>
    <t>08-21-1992</t>
  </si>
  <si>
    <t>03-05-2018</t>
  </si>
  <si>
    <t>AN00162</t>
  </si>
  <si>
    <t>Kamulegeya,Kenneth</t>
  </si>
  <si>
    <t>Kamulegeya</t>
  </si>
  <si>
    <t>Kenneth</t>
  </si>
  <si>
    <t>09-01-1992</t>
  </si>
  <si>
    <t>03-09-2018</t>
  </si>
  <si>
    <t>AN00163</t>
  </si>
  <si>
    <t>Karonwi,Fatai</t>
  </si>
  <si>
    <t>Karonwi</t>
  </si>
  <si>
    <t>Fatai</t>
  </si>
  <si>
    <t>04-18-1979</t>
  </si>
  <si>
    <t>AN00164</t>
  </si>
  <si>
    <t>Kasali,Ganiyu</t>
  </si>
  <si>
    <t>Kasali</t>
  </si>
  <si>
    <t>Ganiyu</t>
  </si>
  <si>
    <t>12-05-1993</t>
  </si>
  <si>
    <t>03-26-2018</t>
  </si>
  <si>
    <t>AN00165</t>
  </si>
  <si>
    <t>Kogi,Elijah</t>
  </si>
  <si>
    <t>Kogi</t>
  </si>
  <si>
    <t>Elijah</t>
  </si>
  <si>
    <t>10-17-1997</t>
  </si>
  <si>
    <t>AN00166</t>
  </si>
  <si>
    <t>Kolade,Akinwunmi</t>
  </si>
  <si>
    <t>Kolade</t>
  </si>
  <si>
    <t>11-22-1986</t>
  </si>
  <si>
    <t>04-03-2018</t>
  </si>
  <si>
    <t>AN00167</t>
  </si>
  <si>
    <t>Gangadharan,Kottappurath</t>
  </si>
  <si>
    <t>Gangadharan</t>
  </si>
  <si>
    <t>Kottappurath</t>
  </si>
  <si>
    <t>01-10-1998</t>
  </si>
  <si>
    <t>AN00168</t>
  </si>
  <si>
    <t>Kuye,Abiodun</t>
  </si>
  <si>
    <t>Kuye</t>
  </si>
  <si>
    <t>03-17-1998</t>
  </si>
  <si>
    <t>AN00169</t>
  </si>
  <si>
    <t>Langat,Cheruiyot</t>
  </si>
  <si>
    <t>Langat</t>
  </si>
  <si>
    <t>Cheruiyot</t>
  </si>
  <si>
    <t>09-30-1996</t>
  </si>
  <si>
    <t>AN00170</t>
  </si>
  <si>
    <t>Larson,Kefas</t>
  </si>
  <si>
    <t>Larson</t>
  </si>
  <si>
    <t>Kefas</t>
  </si>
  <si>
    <t>04-22-1996</t>
  </si>
  <si>
    <t>AN00171</t>
  </si>
  <si>
    <t>Lawal,Ovayami</t>
  </si>
  <si>
    <t>Lawal</t>
  </si>
  <si>
    <t>Ovayami</t>
  </si>
  <si>
    <t>08-21-1996</t>
  </si>
  <si>
    <t>AN00172</t>
  </si>
  <si>
    <t>Lawal,Raifu</t>
  </si>
  <si>
    <t>Raifu</t>
  </si>
  <si>
    <t>08-10-1980</t>
  </si>
  <si>
    <t>05-02-2018</t>
  </si>
  <si>
    <t>AN00173</t>
  </si>
  <si>
    <t>Lawal,Kayode</t>
  </si>
  <si>
    <t>Kayode</t>
  </si>
  <si>
    <t>11-29-1990</t>
  </si>
  <si>
    <t>AN00174</t>
  </si>
  <si>
    <t>Lawal,Peters</t>
  </si>
  <si>
    <t>Peters</t>
  </si>
  <si>
    <t>Filling Operative</t>
  </si>
  <si>
    <t>03-04-1989</t>
  </si>
  <si>
    <t>Ondo</t>
  </si>
  <si>
    <t>AN00175</t>
  </si>
  <si>
    <t>Lutz,Michael</t>
  </si>
  <si>
    <t>Lutz</t>
  </si>
  <si>
    <t>05-10-1986</t>
  </si>
  <si>
    <t>AN00176</t>
  </si>
  <si>
    <t>Madewa,Kayode</t>
  </si>
  <si>
    <t>Madewa</t>
  </si>
  <si>
    <t>06-14-1984</t>
  </si>
  <si>
    <t>AN00177</t>
  </si>
  <si>
    <t>Madu,Sunday</t>
  </si>
  <si>
    <t>Madu</t>
  </si>
  <si>
    <t>11-22-1998</t>
  </si>
  <si>
    <t>AN00178</t>
  </si>
  <si>
    <t>Makinde,Olajumoke</t>
  </si>
  <si>
    <t>Makinde</t>
  </si>
  <si>
    <t>07-05-1969</t>
  </si>
  <si>
    <t>06-01-2018</t>
  </si>
  <si>
    <t>AN00179</t>
  </si>
  <si>
    <t>Makinde,Solomon</t>
  </si>
  <si>
    <t>Solomon</t>
  </si>
  <si>
    <t>09-13-1988</t>
  </si>
  <si>
    <t>AN00180</t>
  </si>
  <si>
    <t>Oluyoye,Maureen</t>
  </si>
  <si>
    <t>Oluyoye</t>
  </si>
  <si>
    <t>Maureen</t>
  </si>
  <si>
    <t>Technical Service Exec. - Hempel</t>
  </si>
  <si>
    <t>07-19-1995</t>
  </si>
  <si>
    <t>11-19-2018</t>
  </si>
  <si>
    <t>AN00181</t>
  </si>
  <si>
    <t>Mesubi,Abrahams</t>
  </si>
  <si>
    <t>Mesubi</t>
  </si>
  <si>
    <t>Abrahams</t>
  </si>
  <si>
    <t>Risk &amp; Compliance Specialist</t>
  </si>
  <si>
    <t>01-10-1991</t>
  </si>
  <si>
    <t>01-02-2019</t>
  </si>
  <si>
    <t>AN00182</t>
  </si>
  <si>
    <t>Momoh,Abdullahi</t>
  </si>
  <si>
    <t>Momoh</t>
  </si>
  <si>
    <t>Abdullahi</t>
  </si>
  <si>
    <t>05-20-1983</t>
  </si>
  <si>
    <t>12-17-2018</t>
  </si>
  <si>
    <t>AN00183</t>
  </si>
  <si>
    <t>Momoh,Andrew</t>
  </si>
  <si>
    <t>Andrew</t>
  </si>
  <si>
    <t>Procurement Manager</t>
  </si>
  <si>
    <t>03-07-1995</t>
  </si>
  <si>
    <t>11-12-2018</t>
  </si>
  <si>
    <t>AN00184</t>
  </si>
  <si>
    <t>Mordi,Cyril</t>
  </si>
  <si>
    <t>Mordi</t>
  </si>
  <si>
    <t>Cyril</t>
  </si>
  <si>
    <t>Company Sec &amp; Gen Counsel</t>
  </si>
  <si>
    <t>10-13-1986</t>
  </si>
  <si>
    <t>04-01-2019</t>
  </si>
  <si>
    <t>AN00185</t>
  </si>
  <si>
    <t>Mosuro,Abdul-Kabir</t>
  </si>
  <si>
    <t>Mosuro</t>
  </si>
  <si>
    <t>Abdul-Kabir</t>
  </si>
  <si>
    <t>11-04-1992</t>
  </si>
  <si>
    <t>05-27-2019</t>
  </si>
  <si>
    <t>AN00186</t>
  </si>
  <si>
    <t>Moul,Elfreda</t>
  </si>
  <si>
    <t>Moul</t>
  </si>
  <si>
    <t>Elfreda</t>
  </si>
  <si>
    <t>05-23-1995</t>
  </si>
  <si>
    <t>07-15-2019</t>
  </si>
  <si>
    <t>AN00187</t>
  </si>
  <si>
    <t>Mustapha,Onifade</t>
  </si>
  <si>
    <t>Mustapha</t>
  </si>
  <si>
    <t>Onifade</t>
  </si>
  <si>
    <t>09-26-1992</t>
  </si>
  <si>
    <t>08-01-2019</t>
  </si>
  <si>
    <t>AN00188</t>
  </si>
  <si>
    <t>Mustapha,Tope</t>
  </si>
  <si>
    <t>Tope</t>
  </si>
  <si>
    <t>01-26-1990</t>
  </si>
  <si>
    <t>AN00189</t>
  </si>
  <si>
    <t>Nduanya,Tochukwu</t>
  </si>
  <si>
    <t>Nduanya</t>
  </si>
  <si>
    <t>Tochukwu</t>
  </si>
  <si>
    <t>02-12-1978</t>
  </si>
  <si>
    <t>AN00190</t>
  </si>
  <si>
    <t>Njenga,Guchu</t>
  </si>
  <si>
    <t>Njenga</t>
  </si>
  <si>
    <t>Guchu</t>
  </si>
  <si>
    <t>09-07-1981</t>
  </si>
  <si>
    <t>08-20-2019</t>
  </si>
  <si>
    <t>AN00191</t>
  </si>
  <si>
    <t>Njoku,Philip</t>
  </si>
  <si>
    <t>Njoku</t>
  </si>
  <si>
    <t>Philip</t>
  </si>
  <si>
    <t>Project Sales &amp; Services Manager</t>
  </si>
  <si>
    <t>11-12-1980</t>
  </si>
  <si>
    <t>09-01-2019</t>
  </si>
  <si>
    <t>AN00192</t>
  </si>
  <si>
    <t>Nsoribe,Ugochukwu</t>
  </si>
  <si>
    <t>Nsoribe</t>
  </si>
  <si>
    <t>Ugochukwu</t>
  </si>
  <si>
    <t>AN00193</t>
  </si>
  <si>
    <t>Nwankwo,Uche</t>
  </si>
  <si>
    <t>Nwankwo</t>
  </si>
  <si>
    <t>Uche</t>
  </si>
  <si>
    <t>04-01-2001</t>
  </si>
  <si>
    <t>09-16-2019</t>
  </si>
  <si>
    <t>AN00194</t>
  </si>
  <si>
    <t>Nzegbuna,Izuka</t>
  </si>
  <si>
    <t>Nzegbuna</t>
  </si>
  <si>
    <t>Izuka</t>
  </si>
  <si>
    <t>12-21-1990</t>
  </si>
  <si>
    <t>01-13-2020</t>
  </si>
  <si>
    <t>AN00195</t>
  </si>
  <si>
    <t>Obataluonye,Jane</t>
  </si>
  <si>
    <t>Obataluonye</t>
  </si>
  <si>
    <t>Jane</t>
  </si>
  <si>
    <t>05-11-2000</t>
  </si>
  <si>
    <t>AN00196</t>
  </si>
  <si>
    <t>Obichie,Utomi</t>
  </si>
  <si>
    <t>Obichie</t>
  </si>
  <si>
    <t>Utomi</t>
  </si>
  <si>
    <t>Colour Matching Team Lead</t>
  </si>
  <si>
    <t>01-23-1996</t>
  </si>
  <si>
    <t>01-20-2020</t>
  </si>
  <si>
    <t>AN00197</t>
  </si>
  <si>
    <t>Obidoa,Nkoyo</t>
  </si>
  <si>
    <t>Obidoa</t>
  </si>
  <si>
    <t>Nkoyo</t>
  </si>
  <si>
    <t>Technical Manager</t>
  </si>
  <si>
    <t>09-07-1996</t>
  </si>
  <si>
    <t>AN00198</t>
  </si>
  <si>
    <t>Orie,Ijeoma</t>
  </si>
  <si>
    <t>Orie</t>
  </si>
  <si>
    <t>Ijeoma</t>
  </si>
  <si>
    <t>Production Scheduler</t>
  </si>
  <si>
    <t>09-28-1984</t>
  </si>
  <si>
    <t>02-24-2020</t>
  </si>
  <si>
    <t>AN00199</t>
  </si>
  <si>
    <t>Obileke,Chukwudi</t>
  </si>
  <si>
    <t>Obileke</t>
  </si>
  <si>
    <t>Chukwudi</t>
  </si>
  <si>
    <t>07-01-1991</t>
  </si>
  <si>
    <t>03-02-2020</t>
  </si>
  <si>
    <t>AN00200</t>
  </si>
  <si>
    <t>Oboro,Omeiza</t>
  </si>
  <si>
    <t>Oboro</t>
  </si>
  <si>
    <t>Omeiza</t>
  </si>
  <si>
    <t>Brand Manager</t>
  </si>
  <si>
    <t>11-29-1989</t>
  </si>
  <si>
    <t>05-04-2020</t>
  </si>
  <si>
    <t>AN00201</t>
  </si>
  <si>
    <t>Odee,John</t>
  </si>
  <si>
    <t>Odee</t>
  </si>
  <si>
    <t>Distr &amp; WH Lead</t>
  </si>
  <si>
    <t>07-06-2020</t>
  </si>
  <si>
    <t>AN00202</t>
  </si>
  <si>
    <t>Odukoya,Omoniyi</t>
  </si>
  <si>
    <t>Odukoya</t>
  </si>
  <si>
    <t>Omoniyi</t>
  </si>
  <si>
    <t>01-02-1992</t>
  </si>
  <si>
    <t>08-03-2020</t>
  </si>
  <si>
    <t>AN00203</t>
  </si>
  <si>
    <t>Odulana,Aina</t>
  </si>
  <si>
    <t>Odulana</t>
  </si>
  <si>
    <t>Aina</t>
  </si>
  <si>
    <t>Raw Material Chemist</t>
  </si>
  <si>
    <t>08-24-1995</t>
  </si>
  <si>
    <t>09-01-2020</t>
  </si>
  <si>
    <t>AN00204</t>
  </si>
  <si>
    <t>Oduwole,Olusegun</t>
  </si>
  <si>
    <t>Oduwole</t>
  </si>
  <si>
    <t>Olusegun</t>
  </si>
  <si>
    <t>Order Taking Analyst</t>
  </si>
  <si>
    <t>11-24-1983</t>
  </si>
  <si>
    <t>AN00205</t>
  </si>
  <si>
    <t>Oduyemi,Olusegun</t>
  </si>
  <si>
    <t>Oduyemi</t>
  </si>
  <si>
    <t>08-04-1989</t>
  </si>
  <si>
    <t>AN00206</t>
  </si>
  <si>
    <t>Offoma,Uzoma</t>
  </si>
  <si>
    <t>Offoma</t>
  </si>
  <si>
    <t>Uzoma</t>
  </si>
  <si>
    <t>Head Sales Operations</t>
  </si>
  <si>
    <t>02-07-1991</t>
  </si>
  <si>
    <t>AN00207</t>
  </si>
  <si>
    <t>Ogbebor,Jude</t>
  </si>
  <si>
    <t>Ogbebor</t>
  </si>
  <si>
    <t>Jude</t>
  </si>
  <si>
    <t>05-01-1997</t>
  </si>
  <si>
    <t>AN00208</t>
  </si>
  <si>
    <t>Ogbobilea,Brango</t>
  </si>
  <si>
    <t>Ogbobilea</t>
  </si>
  <si>
    <t>Brango</t>
  </si>
  <si>
    <t>Quantity Surveyor</t>
  </si>
  <si>
    <t>01-29-1980</t>
  </si>
  <si>
    <t>09-14-2020</t>
  </si>
  <si>
    <t>AN00209</t>
  </si>
  <si>
    <t>Ogbu,Uche</t>
  </si>
  <si>
    <t>Ogbu</t>
  </si>
  <si>
    <t>Chemist - Water Based</t>
  </si>
  <si>
    <t>01-03-1995</t>
  </si>
  <si>
    <t>AN00210</t>
  </si>
  <si>
    <t>Ogie,Mathew</t>
  </si>
  <si>
    <t>Ogie</t>
  </si>
  <si>
    <t>Key Accounts Manager (T1)</t>
  </si>
  <si>
    <t>12-19-1981</t>
  </si>
  <si>
    <t>AN00211</t>
  </si>
  <si>
    <t>Ogobi,Chukwunwike</t>
  </si>
  <si>
    <t>Ogobi</t>
  </si>
  <si>
    <t>Chukwunwike</t>
  </si>
  <si>
    <t>10-17-1989</t>
  </si>
  <si>
    <t>AN00212</t>
  </si>
  <si>
    <t>Ogu,Nkechi</t>
  </si>
  <si>
    <t>Ogu</t>
  </si>
  <si>
    <t>Nkechi</t>
  </si>
  <si>
    <t>Digital Tech &amp; Security Lead</t>
  </si>
  <si>
    <t>06-13-1994</t>
  </si>
  <si>
    <t>10-02-2020</t>
  </si>
  <si>
    <t>AN00213</t>
  </si>
  <si>
    <t>Ogunbayo,Yetunde</t>
  </si>
  <si>
    <t>Ogunbayo</t>
  </si>
  <si>
    <t>Yetunde</t>
  </si>
  <si>
    <t>01-21-2000</t>
  </si>
  <si>
    <t>AN00214</t>
  </si>
  <si>
    <t>Ogungbemi,Segun</t>
  </si>
  <si>
    <t>Ogungbemi</t>
  </si>
  <si>
    <t>Segun</t>
  </si>
  <si>
    <t>QC Lead</t>
  </si>
  <si>
    <t>05-21-1991</t>
  </si>
  <si>
    <t>AN00215</t>
  </si>
  <si>
    <t>Ogungbesan,Soji</t>
  </si>
  <si>
    <t>Ogungbesan</t>
  </si>
  <si>
    <t>Soji</t>
  </si>
  <si>
    <t>04-29-1991</t>
  </si>
  <si>
    <t>AN00216</t>
  </si>
  <si>
    <t>Ogunmuyiwa,Dehinde</t>
  </si>
  <si>
    <t>Ogunmuyiwa</t>
  </si>
  <si>
    <t>Dehinde</t>
  </si>
  <si>
    <t>05-23-1989</t>
  </si>
  <si>
    <t>11-02-2020</t>
  </si>
  <si>
    <t>AN00217</t>
  </si>
  <si>
    <t>Ogunniyi,Olatunde</t>
  </si>
  <si>
    <t>Ogunniyi</t>
  </si>
  <si>
    <t>Olatunde</t>
  </si>
  <si>
    <t>04-04-1998</t>
  </si>
  <si>
    <t>11-01-2020</t>
  </si>
  <si>
    <t>AN00218</t>
  </si>
  <si>
    <t>Mary,Oluwaseyi</t>
  </si>
  <si>
    <t>Mary</t>
  </si>
  <si>
    <t>Oluwaseyi</t>
  </si>
  <si>
    <t>12-26-1966</t>
  </si>
  <si>
    <t>AN00219</t>
  </si>
  <si>
    <t>Ogunyemi,Mukaila</t>
  </si>
  <si>
    <t>Ogunyemi</t>
  </si>
  <si>
    <t>Mukaila</t>
  </si>
  <si>
    <t>Sales Admin / Analyst</t>
  </si>
  <si>
    <t>11-16-2020</t>
  </si>
  <si>
    <t>AN00220</t>
  </si>
  <si>
    <t>Ojewunmi,Rotimi</t>
  </si>
  <si>
    <t>Ojewunmi</t>
  </si>
  <si>
    <t>04-28-1990</t>
  </si>
  <si>
    <t>AN00221</t>
  </si>
  <si>
    <t>Ojuade,Anthony</t>
  </si>
  <si>
    <t>Ojuade</t>
  </si>
  <si>
    <t>02-04-1985</t>
  </si>
  <si>
    <t>12-01-2020</t>
  </si>
  <si>
    <t>AN00222</t>
  </si>
  <si>
    <t>Oke,Arinola</t>
  </si>
  <si>
    <t>Oke</t>
  </si>
  <si>
    <t>Arinola</t>
  </si>
  <si>
    <t>05-24-1970</t>
  </si>
  <si>
    <t>AN00223</t>
  </si>
  <si>
    <t>Okesola,Suleiman</t>
  </si>
  <si>
    <t>Okesola</t>
  </si>
  <si>
    <t>Suleiman</t>
  </si>
  <si>
    <t>02-02-1986</t>
  </si>
  <si>
    <t>12-14-2020</t>
  </si>
  <si>
    <t>AN00224</t>
  </si>
  <si>
    <t>Okhabu,Ayemhe</t>
  </si>
  <si>
    <t>Okhabu</t>
  </si>
  <si>
    <t>Ayemhe</t>
  </si>
  <si>
    <t>07-03-1988</t>
  </si>
  <si>
    <t>01-04-2021</t>
  </si>
  <si>
    <t>AN00225</t>
  </si>
  <si>
    <t>Okoedion,Omonye</t>
  </si>
  <si>
    <t>Okoedion</t>
  </si>
  <si>
    <t>Omonye</t>
  </si>
  <si>
    <t>10-15-1996</t>
  </si>
  <si>
    <t>01-01-2021</t>
  </si>
  <si>
    <t>AN00226</t>
  </si>
  <si>
    <t>Okonkwo,Francis</t>
  </si>
  <si>
    <t>Okonkwo</t>
  </si>
  <si>
    <t>Francis</t>
  </si>
  <si>
    <t>07-29-1988</t>
  </si>
  <si>
    <t>02-01-2021</t>
  </si>
  <si>
    <t>AN00227</t>
  </si>
  <si>
    <t>Okonye,Jude</t>
  </si>
  <si>
    <t>Okonye</t>
  </si>
  <si>
    <t>06-26-1992</t>
  </si>
  <si>
    <t>02-08-2021</t>
  </si>
  <si>
    <t>AN00228</t>
  </si>
  <si>
    <t>Okoye,Blessing</t>
  </si>
  <si>
    <t>Okoye</t>
  </si>
  <si>
    <t>HSE Specialist</t>
  </si>
  <si>
    <t>02-02-1990</t>
  </si>
  <si>
    <t>03-01-2021</t>
  </si>
  <si>
    <t>AN00229</t>
  </si>
  <si>
    <t>Okunowo,Adeolu</t>
  </si>
  <si>
    <t>Okunowo</t>
  </si>
  <si>
    <t>Adeolu</t>
  </si>
  <si>
    <t>04-04-1980</t>
  </si>
  <si>
    <t>03-08-2021</t>
  </si>
  <si>
    <t>AN00230</t>
  </si>
  <si>
    <t>Olabisi,Oyebisi</t>
  </si>
  <si>
    <t>Olabisi</t>
  </si>
  <si>
    <t>Oyebisi</t>
  </si>
  <si>
    <t>Financial Accountant</t>
  </si>
  <si>
    <t>10-06-1990</t>
  </si>
  <si>
    <t>03-15-2021</t>
  </si>
  <si>
    <t>AN00231</t>
  </si>
  <si>
    <t>Oladayo,George</t>
  </si>
  <si>
    <t>Oladayo</t>
  </si>
  <si>
    <t>George</t>
  </si>
  <si>
    <t>08-04-1974</t>
  </si>
  <si>
    <t>04-01-2021</t>
  </si>
  <si>
    <t>AN00232</t>
  </si>
  <si>
    <t>Oladejo,Olusegun</t>
  </si>
  <si>
    <t>Oladejo</t>
  </si>
  <si>
    <t>10-12-1976</t>
  </si>
  <si>
    <t>AN00233</t>
  </si>
  <si>
    <t>Oladipo,Oluwaseun</t>
  </si>
  <si>
    <t>Oladipo</t>
  </si>
  <si>
    <t>Oluwaseun</t>
  </si>
  <si>
    <t>03-17-1999</t>
  </si>
  <si>
    <t>05-01-2021</t>
  </si>
  <si>
    <t>AN00234</t>
  </si>
  <si>
    <t>Aminu,Sherif</t>
  </si>
  <si>
    <t>Sherif</t>
  </si>
  <si>
    <t>10-22-1990</t>
  </si>
  <si>
    <t>AN00235</t>
  </si>
  <si>
    <t>Esan,Emmanuel</t>
  </si>
  <si>
    <t>Esan</t>
  </si>
  <si>
    <t>11-06-1980</t>
  </si>
  <si>
    <t>AN00236</t>
  </si>
  <si>
    <t>Bamisaye,Victor</t>
  </si>
  <si>
    <t>Bamisaye</t>
  </si>
  <si>
    <t>Victor</t>
  </si>
  <si>
    <t>RMWH Lead</t>
  </si>
  <si>
    <t>04-17-1999</t>
  </si>
  <si>
    <t>05-10-2021</t>
  </si>
  <si>
    <t>AN00237</t>
  </si>
  <si>
    <t>Oladapo,Aderemi</t>
  </si>
  <si>
    <t>Oladapo</t>
  </si>
  <si>
    <t>Aderemi</t>
  </si>
  <si>
    <t>09-09-1988</t>
  </si>
  <si>
    <t>05-17-2021</t>
  </si>
  <si>
    <t>AN00238</t>
  </si>
  <si>
    <t>Osikoya,Wasiu</t>
  </si>
  <si>
    <t>Osikoya</t>
  </si>
  <si>
    <t>Planning Lead</t>
  </si>
  <si>
    <t>04-18-1998</t>
  </si>
  <si>
    <t>AN00239</t>
  </si>
  <si>
    <t>Koro,Mutour</t>
  </si>
  <si>
    <t>Koro</t>
  </si>
  <si>
    <t>Mutour</t>
  </si>
  <si>
    <t>10-28-1982</t>
  </si>
  <si>
    <t>SN</t>
  </si>
  <si>
    <t>Recruitment ID</t>
  </si>
  <si>
    <t>Full Name</t>
  </si>
  <si>
    <t>Sourcing Date</t>
  </si>
  <si>
    <t>Offer Extension Date</t>
  </si>
  <si>
    <t>TTO</t>
  </si>
  <si>
    <t>Source</t>
  </si>
  <si>
    <t>Designation</t>
  </si>
  <si>
    <t>Type</t>
  </si>
  <si>
    <t>RCID00001</t>
  </si>
  <si>
    <t>Adedoyin Adegoju Enitan</t>
  </si>
  <si>
    <t>Internal</t>
  </si>
  <si>
    <t>Replacement</t>
  </si>
  <si>
    <t>RCID00002</t>
  </si>
  <si>
    <t>Femi Ayebameru Joseph</t>
  </si>
  <si>
    <t>RCID00003</t>
  </si>
  <si>
    <t>Arisa Ikechukwu Godson</t>
  </si>
  <si>
    <t>RCID00004</t>
  </si>
  <si>
    <t xml:space="preserve">Obikanye Olushola </t>
  </si>
  <si>
    <t>External</t>
  </si>
  <si>
    <t>RCID00005</t>
  </si>
  <si>
    <t xml:space="preserve">Adekoya Olajumoke </t>
  </si>
  <si>
    <t>RCID00006</t>
  </si>
  <si>
    <t>Olapeju Ibekwe Sinmisola</t>
  </si>
  <si>
    <t>RCID00007</t>
  </si>
  <si>
    <t xml:space="preserve">Awa Nnenna </t>
  </si>
  <si>
    <t>RCID00008</t>
  </si>
  <si>
    <t>Ruth Ozigbo Omojo</t>
  </si>
  <si>
    <t>New Hire</t>
  </si>
  <si>
    <t>RCID00009</t>
  </si>
  <si>
    <t>Chidimma Okoli Ijeoma</t>
  </si>
  <si>
    <t>RCID00010</t>
  </si>
  <si>
    <t>Ibidapo Martins Afolabi</t>
  </si>
  <si>
    <t>RCID00011</t>
  </si>
  <si>
    <t xml:space="preserve">Ademola Adesina </t>
  </si>
  <si>
    <t>RCID00012</t>
  </si>
  <si>
    <t>Abiola Akerele Oluwasegun</t>
  </si>
  <si>
    <t>RCID00013</t>
  </si>
  <si>
    <t>Busaosowo Mark Sunday</t>
  </si>
  <si>
    <t>RCID00014</t>
  </si>
  <si>
    <t xml:space="preserve">Oluwatobi Alagbe </t>
  </si>
  <si>
    <t>RCID00015</t>
  </si>
  <si>
    <t>Osisiye Tafa Eyitayo</t>
  </si>
  <si>
    <t>RCID00016</t>
  </si>
  <si>
    <t>Ojo Ayodeji</t>
  </si>
  <si>
    <t>RCID00017</t>
  </si>
  <si>
    <t>Ebunoluwa Ibidapo Yejide</t>
  </si>
  <si>
    <t>RCID00018</t>
  </si>
  <si>
    <t xml:space="preserve">Obanwo Taiye Joshua </t>
  </si>
  <si>
    <t>RCID00019</t>
  </si>
  <si>
    <t>Maurice Igugu E.</t>
  </si>
  <si>
    <t>RCID00020</t>
  </si>
  <si>
    <t xml:space="preserve">Dakat Ira </t>
  </si>
  <si>
    <t>RCID00021</t>
  </si>
  <si>
    <t xml:space="preserve">Annan Abena </t>
  </si>
  <si>
    <t>RCID00022</t>
  </si>
  <si>
    <t xml:space="preserve">Paseda Ayomikun </t>
  </si>
  <si>
    <t>RCID00023</t>
  </si>
  <si>
    <t>Odunowo Adetayo Olusesan</t>
  </si>
  <si>
    <t>RCID00024</t>
  </si>
  <si>
    <t>Owolabi Olashile Mahmood</t>
  </si>
  <si>
    <t>RCID00025</t>
  </si>
  <si>
    <t>Chidumaga Aba-Onukaogu-Olowa Ekpedeme</t>
  </si>
  <si>
    <t>RCID00026</t>
  </si>
  <si>
    <t>Cynthia Okagbare Oghenegueke</t>
  </si>
  <si>
    <t>RCID00027</t>
  </si>
  <si>
    <t>Ezinne Nwokafor Chidinma</t>
  </si>
  <si>
    <t>RCID00028</t>
  </si>
  <si>
    <t>Ifueko Ogbomo Mercy</t>
  </si>
  <si>
    <t>RCID00029</t>
  </si>
  <si>
    <t>Temitope Olayinka Tawa</t>
  </si>
  <si>
    <t>RCID00030</t>
  </si>
  <si>
    <t>Olivia Onyejekwe Chidinma</t>
  </si>
  <si>
    <t>RCID00031</t>
  </si>
  <si>
    <t>Abiodun Omoloja Olamide</t>
  </si>
  <si>
    <t>RCID00032</t>
  </si>
  <si>
    <t>Ayodeji Ojo Stephen</t>
  </si>
  <si>
    <t>RCID00033</t>
  </si>
  <si>
    <t>Oladele Adebayo</t>
  </si>
  <si>
    <t>RCID00034</t>
  </si>
  <si>
    <t>Chibuzor Awe Simon</t>
  </si>
  <si>
    <t>RCID00035</t>
  </si>
  <si>
    <t xml:space="preserve">Abayomi Sawyerr </t>
  </si>
  <si>
    <t>RCID00036</t>
  </si>
  <si>
    <t>Theresa Ogbuka Odawayi</t>
  </si>
  <si>
    <t>RCID00037</t>
  </si>
  <si>
    <t>Yemisi Ajimuda Abiodun</t>
  </si>
  <si>
    <t>RCID00038</t>
  </si>
  <si>
    <t>Adewunmi Adepetun Adeseike</t>
  </si>
  <si>
    <t>RCID00039</t>
  </si>
  <si>
    <t>Edna Udobi Eziafa</t>
  </si>
  <si>
    <t>RCID00040</t>
  </si>
  <si>
    <t>Uyigueosa Iyiola Mary</t>
  </si>
  <si>
    <t>RCID00041</t>
  </si>
  <si>
    <t>Afadekemi Durojaye Adeola</t>
  </si>
  <si>
    <t>RCID00042</t>
  </si>
  <si>
    <t>Ibukun Williams Adekunbi</t>
  </si>
  <si>
    <t>RCID00043</t>
  </si>
  <si>
    <t>Zainab Balogun Tinuola</t>
  </si>
  <si>
    <t>RCID00044</t>
  </si>
  <si>
    <t>Olabomi Adeniyi Ganiyat</t>
  </si>
  <si>
    <t>RCID00045</t>
  </si>
  <si>
    <t>Oluwaseun Sonola Juliana</t>
  </si>
  <si>
    <t>RCID00046</t>
  </si>
  <si>
    <t>Folashade Afolabi Oluwatoyin</t>
  </si>
  <si>
    <t>RCID00047</t>
  </si>
  <si>
    <t>Onu-Okpara Ihuoma</t>
  </si>
  <si>
    <t>RCID00048</t>
  </si>
  <si>
    <t>Joy Ugah Lynda</t>
  </si>
  <si>
    <t>RCID00049</t>
  </si>
  <si>
    <t>Denise Alonge Oiza</t>
  </si>
  <si>
    <t>RCID00050</t>
  </si>
  <si>
    <t>Bilikis Oseni Olasunkanmi</t>
  </si>
  <si>
    <t>EmployeeID</t>
  </si>
  <si>
    <t>Personnel Name</t>
  </si>
  <si>
    <t>Division</t>
  </si>
  <si>
    <t>Work Model</t>
  </si>
  <si>
    <t>Exit Date</t>
  </si>
  <si>
    <t>Cadre</t>
  </si>
  <si>
    <t>Talent Segmentation</t>
  </si>
  <si>
    <t>Basic salary</t>
  </si>
  <si>
    <t>Gross Pay</t>
  </si>
  <si>
    <t>Destination</t>
  </si>
  <si>
    <t>Destination_Type</t>
  </si>
  <si>
    <t>Abayomi, Fatai Sunday</t>
  </si>
  <si>
    <t xml:space="preserve">APP </t>
  </si>
  <si>
    <t>Onsite</t>
  </si>
  <si>
    <t>Canada</t>
  </si>
  <si>
    <t>Relocation</t>
  </si>
  <si>
    <t>Abiodun-Afolabi, Fadekemi</t>
  </si>
  <si>
    <t>Adegbite, Adesola James</t>
  </si>
  <si>
    <t>Hybrid</t>
  </si>
  <si>
    <t>Adejumo, Ganiyu Adetunji</t>
  </si>
  <si>
    <t>Adeniyi, Babatunde</t>
  </si>
  <si>
    <t>United Kingdom</t>
  </si>
  <si>
    <t>Adesogbon, Abiola</t>
  </si>
  <si>
    <t>Remote</t>
  </si>
  <si>
    <t>Adewunmi, Samuel Olugbenga</t>
  </si>
  <si>
    <t>Afe, Samuel Oluwatoyin</t>
  </si>
  <si>
    <t>Agbeyomi, Akinjide</t>
  </si>
  <si>
    <t>UG Bank</t>
  </si>
  <si>
    <t>Local</t>
  </si>
  <si>
    <t>Ajala, Olusegun  Rufus</t>
  </si>
  <si>
    <t xml:space="preserve">PAN </t>
  </si>
  <si>
    <t>AB Finance</t>
  </si>
  <si>
    <t>Akano, Ibukun Smart</t>
  </si>
  <si>
    <t>Akinseesin, Ebenezer Olatunji</t>
  </si>
  <si>
    <t>Akomolafe, Bunmi Fredrick</t>
  </si>
  <si>
    <t>SAAS Insurance</t>
  </si>
  <si>
    <t>Alege, Olusola</t>
  </si>
  <si>
    <t>Aminu, Mohammed</t>
  </si>
  <si>
    <t>Apata, Gboyega</t>
  </si>
  <si>
    <t>Atoyebi, Rotimi</t>
  </si>
  <si>
    <t>Ayandele, Ayanwola Davis</t>
  </si>
  <si>
    <t>Gino Telcoms</t>
  </si>
  <si>
    <t>Babatunde, Olateju John</t>
  </si>
  <si>
    <t>Bandele, Oluwatosin  Olajumoke</t>
  </si>
  <si>
    <t>Chidume, Emmanuel Kainebi</t>
  </si>
  <si>
    <t>Dada, Elijah Babatope</t>
  </si>
  <si>
    <t>MD's Office</t>
  </si>
  <si>
    <t>Echekwu, Rowland</t>
  </si>
  <si>
    <t>New Zealand</t>
  </si>
  <si>
    <t>Odega Anthony, Thecla Chinenye</t>
  </si>
  <si>
    <t>Elue, Isaac  Adam</t>
  </si>
  <si>
    <t>SALES</t>
  </si>
  <si>
    <t>Eyo, Enobong Martin</t>
  </si>
  <si>
    <t>Faboya, Odunayo  Bankole</t>
  </si>
  <si>
    <t>Fashola, Tajudeen O.</t>
  </si>
  <si>
    <t>Giwa, Adeniyi Muritala</t>
  </si>
  <si>
    <t>Ibe, Charles Godwin</t>
  </si>
  <si>
    <t>Ighodaro, Nosa Charles</t>
  </si>
  <si>
    <t>Isafiade, Adenrele</t>
  </si>
  <si>
    <t>Juneja, Deepak</t>
  </si>
  <si>
    <t>Kogi, Kohol Elijah</t>
  </si>
  <si>
    <t>Larson, Suwa Kefas</t>
  </si>
  <si>
    <t>Lutz, Michael</t>
  </si>
  <si>
    <t>Australia</t>
  </si>
  <si>
    <t>Oluyoye, Onyeka Maureen</t>
  </si>
  <si>
    <t>Mosuro, Tolulope Abdul-Kabir</t>
  </si>
  <si>
    <t>Njenga, Anthony Guchu</t>
  </si>
  <si>
    <t>Obataluonye, Nneka Jane</t>
  </si>
  <si>
    <t>Oboro, Michael Omeiza</t>
  </si>
  <si>
    <t>Oduyemi, Stephen Olusegun</t>
  </si>
  <si>
    <t>Ogie, Mathew E.</t>
  </si>
  <si>
    <t>United States of America</t>
  </si>
  <si>
    <t>Ogungbesan, Soji</t>
  </si>
  <si>
    <t>Ojewunmi, James Rotimi</t>
  </si>
  <si>
    <t>Okoedion, Joy Omonye</t>
  </si>
  <si>
    <t>Olabisi, Oyebisi</t>
  </si>
  <si>
    <t>FINANCE</t>
  </si>
  <si>
    <t>Esan, Ifetobi Emmanuel</t>
  </si>
  <si>
    <t>State</t>
  </si>
  <si>
    <t>Zone</t>
  </si>
  <si>
    <t>LOS</t>
  </si>
  <si>
    <t>Range</t>
  </si>
  <si>
    <t>Business Unit</t>
  </si>
  <si>
    <t>Category</t>
  </si>
  <si>
    <t>Job Roles</t>
  </si>
  <si>
    <t>School Leavers</t>
  </si>
  <si>
    <t>Benue</t>
  </si>
  <si>
    <t>North Central</t>
  </si>
  <si>
    <t>0 - 1 year</t>
  </si>
  <si>
    <t>Operations</t>
  </si>
  <si>
    <t>Junior Mgt</t>
  </si>
  <si>
    <t>Poor</t>
  </si>
  <si>
    <t>Commercial</t>
  </si>
  <si>
    <t>2 - 4 years</t>
  </si>
  <si>
    <t>Enablers</t>
  </si>
  <si>
    <t>Kwara</t>
  </si>
  <si>
    <t>Nasarawa</t>
  </si>
  <si>
    <t>Niger</t>
  </si>
  <si>
    <t>5 - 9 years</t>
  </si>
  <si>
    <t>Middle Mgt</t>
  </si>
  <si>
    <t>North East</t>
  </si>
  <si>
    <t>Bauchi</t>
  </si>
  <si>
    <t>20-29</t>
  </si>
  <si>
    <t>Borno</t>
  </si>
  <si>
    <t>10 - 14 years</t>
  </si>
  <si>
    <t>Senior Mgt</t>
  </si>
  <si>
    <t>Taraba</t>
  </si>
  <si>
    <t>Yobe</t>
  </si>
  <si>
    <t>North West</t>
  </si>
  <si>
    <t>MD'S Office</t>
  </si>
  <si>
    <t>Katsina</t>
  </si>
  <si>
    <t>15 - 19 years</t>
  </si>
  <si>
    <t>Foremen</t>
  </si>
  <si>
    <t>Kebbi</t>
  </si>
  <si>
    <t>Sokoto</t>
  </si>
  <si>
    <t>Jigawa</t>
  </si>
  <si>
    <t>30-39</t>
  </si>
  <si>
    <t>Zamfara</t>
  </si>
  <si>
    <t>Abia</t>
  </si>
  <si>
    <t>South East</t>
  </si>
  <si>
    <t>Above 20 years</t>
  </si>
  <si>
    <t>Ebonyi</t>
  </si>
  <si>
    <t>Imo</t>
  </si>
  <si>
    <t>Akwa-Ibom</t>
  </si>
  <si>
    <t>South South</t>
  </si>
  <si>
    <t>Bayelsa</t>
  </si>
  <si>
    <t>Cross-River</t>
  </si>
  <si>
    <t>40-49</t>
  </si>
  <si>
    <t>Mediocre</t>
  </si>
  <si>
    <t>Ekiti</t>
  </si>
  <si>
    <t>South West</t>
  </si>
  <si>
    <t>Osun</t>
  </si>
  <si>
    <t>50-55</t>
  </si>
  <si>
    <t>56-70</t>
  </si>
  <si>
    <t>Average</t>
  </si>
  <si>
    <t>Driver</t>
  </si>
  <si>
    <t>Hi-po</t>
  </si>
  <si>
    <t>Number of Employees</t>
  </si>
  <si>
    <t xml:space="preserve">Count of Employees </t>
  </si>
  <si>
    <t>Average Salary</t>
  </si>
  <si>
    <t>Average Age of Employees</t>
  </si>
  <si>
    <t>Total Salaries</t>
  </si>
  <si>
    <t>Highest Salary</t>
  </si>
  <si>
    <t>Lowest Salary</t>
  </si>
  <si>
    <t>Performance Score &gt;80</t>
  </si>
  <si>
    <t>Average Tenure of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</si>
</sst>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_);_(* \(#,##0.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 style="medium">
        <color auto="1"/>
      </right>
      <top style="medium">
        <color indexed="64"/>
      </top>
      <bottom style="thin">
        <color indexed="64"/>
      </bottom>
      <diagonal/>
    </border>
    <border>
      <left/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3">
    <xf numFmtId="0" fontId="0" fillId="0" borderId="0" xfId="0"/>
    <xf numFmtId="0" fontId="3" fillId="0" borderId="1" xfId="0" applyFont="1" applyBorder="1" applyAlignment="1">
      <alignment vertical="center"/>
    </xf>
    <xf numFmtId="43" fontId="3" fillId="0" borderId="1" xfId="1" applyFont="1" applyFill="1" applyBorder="1" applyAlignment="1">
      <alignment horizontal="right" vertical="center"/>
    </xf>
    <xf numFmtId="0" fontId="3" fillId="0" borderId="0" xfId="0" applyFont="1" applyAlignment="1">
      <alignment vertical="center"/>
    </xf>
    <xf numFmtId="43" fontId="3" fillId="0" borderId="2" xfId="1" applyFont="1" applyFill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14" fontId="4" fillId="0" borderId="9" xfId="0" applyNumberFormat="1" applyFont="1" applyBorder="1" applyAlignment="1">
      <alignment horizontal="right"/>
    </xf>
    <xf numFmtId="14" fontId="4" fillId="0" borderId="1" xfId="0" applyNumberFormat="1" applyFont="1" applyBorder="1" applyAlignment="1">
      <alignment horizontal="right"/>
    </xf>
    <xf numFmtId="14" fontId="4" fillId="0" borderId="2" xfId="0" applyNumberFormat="1" applyFont="1" applyBorder="1" applyAlignment="1">
      <alignment horizontal="right"/>
    </xf>
    <xf numFmtId="43" fontId="3" fillId="0" borderId="2" xfId="1" applyFont="1" applyBorder="1"/>
    <xf numFmtId="43" fontId="3" fillId="0" borderId="1" xfId="1" applyFont="1" applyBorder="1"/>
    <xf numFmtId="0" fontId="4" fillId="0" borderId="0" xfId="0" applyFont="1"/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top"/>
    </xf>
    <xf numFmtId="43" fontId="3" fillId="0" borderId="0" xfId="1" applyFont="1" applyAlignment="1">
      <alignment vertical="top"/>
    </xf>
    <xf numFmtId="14" fontId="4" fillId="0" borderId="0" xfId="0" applyNumberFormat="1" applyFont="1" applyAlignment="1">
      <alignment horizontal="right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11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4" fillId="2" borderId="0" xfId="0" applyFont="1" applyFill="1"/>
    <xf numFmtId="0" fontId="5" fillId="2" borderId="0" xfId="0" applyFont="1" applyFill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6" fillId="3" borderId="15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43" fontId="6" fillId="3" borderId="16" xfId="1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4" fillId="0" borderId="3" xfId="0" applyFont="1" applyBorder="1"/>
    <xf numFmtId="0" fontId="3" fillId="0" borderId="9" xfId="0" applyFont="1" applyBorder="1" applyAlignment="1">
      <alignment vertical="center"/>
    </xf>
    <xf numFmtId="0" fontId="4" fillId="0" borderId="9" xfId="0" applyFont="1" applyBorder="1"/>
    <xf numFmtId="0" fontId="4" fillId="0" borderId="2" xfId="0" applyFont="1" applyBorder="1"/>
    <xf numFmtId="0" fontId="3" fillId="0" borderId="18" xfId="0" applyFont="1" applyBorder="1" applyAlignment="1">
      <alignment vertical="center"/>
    </xf>
    <xf numFmtId="0" fontId="4" fillId="0" borderId="18" xfId="0" applyFont="1" applyBorder="1"/>
    <xf numFmtId="14" fontId="4" fillId="0" borderId="9" xfId="0" applyNumberFormat="1" applyFont="1" applyBorder="1"/>
    <xf numFmtId="14" fontId="4" fillId="0" borderId="2" xfId="0" applyNumberFormat="1" applyFont="1" applyBorder="1"/>
    <xf numFmtId="14" fontId="4" fillId="0" borderId="18" xfId="0" applyNumberFormat="1" applyFont="1" applyBorder="1"/>
    <xf numFmtId="1" fontId="4" fillId="0" borderId="9" xfId="0" applyNumberFormat="1" applyFont="1" applyBorder="1"/>
    <xf numFmtId="1" fontId="4" fillId="0" borderId="2" xfId="0" applyNumberFormat="1" applyFont="1" applyBorder="1"/>
    <xf numFmtId="1" fontId="4" fillId="0" borderId="18" xfId="0" applyNumberFormat="1" applyFont="1" applyBorder="1"/>
    <xf numFmtId="0" fontId="6" fillId="3" borderId="19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4" fillId="4" borderId="5" xfId="0" applyFont="1" applyFill="1" applyBorder="1"/>
    <xf numFmtId="0" fontId="4" fillId="4" borderId="6" xfId="0" applyFont="1" applyFill="1" applyBorder="1"/>
    <xf numFmtId="0" fontId="4" fillId="4" borderId="7" xfId="0" applyFont="1" applyFill="1" applyBorder="1"/>
    <xf numFmtId="0" fontId="4" fillId="4" borderId="8" xfId="0" applyFont="1" applyFill="1" applyBorder="1"/>
    <xf numFmtId="43" fontId="6" fillId="3" borderId="21" xfId="1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43" fontId="3" fillId="5" borderId="1" xfId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vertical="center"/>
    </xf>
    <xf numFmtId="1" fontId="3" fillId="5" borderId="1" xfId="0" applyNumberFormat="1" applyFont="1" applyFill="1" applyBorder="1" applyAlignment="1">
      <alignment vertical="center"/>
    </xf>
    <xf numFmtId="2" fontId="3" fillId="5" borderId="1" xfId="0" applyNumberFormat="1" applyFont="1" applyFill="1" applyBorder="1" applyAlignment="1">
      <alignment vertical="center"/>
    </xf>
    <xf numFmtId="0" fontId="5" fillId="6" borderId="3" xfId="0" applyFont="1" applyFill="1" applyBorder="1"/>
    <xf numFmtId="0" fontId="5" fillId="6" borderId="4" xfId="0" applyFont="1" applyFill="1" applyBorder="1"/>
    <xf numFmtId="0" fontId="5" fillId="7" borderId="3" xfId="0" applyFont="1" applyFill="1" applyBorder="1"/>
    <xf numFmtId="0" fontId="5" fillId="7" borderId="4" xfId="0" applyFont="1" applyFill="1" applyBorder="1"/>
    <xf numFmtId="0" fontId="5" fillId="8" borderId="3" xfId="0" applyFont="1" applyFill="1" applyBorder="1"/>
    <xf numFmtId="0" fontId="5" fillId="8" borderId="4" xfId="0" applyFont="1" applyFill="1" applyBorder="1"/>
    <xf numFmtId="0" fontId="5" fillId="9" borderId="3" xfId="0" applyFont="1" applyFill="1" applyBorder="1"/>
    <xf numFmtId="0" fontId="5" fillId="9" borderId="4" xfId="0" applyFont="1" applyFill="1" applyBorder="1"/>
    <xf numFmtId="0" fontId="5" fillId="10" borderId="3" xfId="0" applyFont="1" applyFill="1" applyBorder="1"/>
    <xf numFmtId="0" fontId="5" fillId="10" borderId="4" xfId="0" applyFont="1" applyFill="1" applyBorder="1"/>
    <xf numFmtId="0" fontId="5" fillId="11" borderId="3" xfId="0" applyFont="1" applyFill="1" applyBorder="1"/>
    <xf numFmtId="0" fontId="5" fillId="11" borderId="10" xfId="0" applyFont="1" applyFill="1" applyBorder="1"/>
    <xf numFmtId="0" fontId="5" fillId="12" borderId="3" xfId="0" applyFont="1" applyFill="1" applyBorder="1"/>
    <xf numFmtId="0" fontId="5" fillId="12" borderId="4" xfId="0" applyFont="1" applyFill="1" applyBorder="1"/>
    <xf numFmtId="0" fontId="6" fillId="3" borderId="22" xfId="0" applyFont="1" applyFill="1" applyBorder="1" applyAlignment="1">
      <alignment horizontal="center" vertical="center"/>
    </xf>
    <xf numFmtId="0" fontId="0" fillId="0" borderId="2" xfId="0" applyBorder="1"/>
    <xf numFmtId="164" fontId="0" fillId="0" borderId="2" xfId="1" applyNumberFormat="1" applyFont="1" applyBorder="1"/>
    <xf numFmtId="0" fontId="6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top"/>
    </xf>
    <xf numFmtId="14" fontId="3" fillId="5" borderId="1" xfId="1" applyNumberFormat="1" applyFont="1" applyFill="1" applyBorder="1" applyAlignment="1">
      <alignment horizontal="right" vertical="center"/>
    </xf>
    <xf numFmtId="14" fontId="3" fillId="0" borderId="1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top"/>
    </xf>
    <xf numFmtId="0" fontId="6" fillId="3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F8844-F0C2-45E8-9385-328B97165F90}">
  <sheetPr>
    <tabColor theme="9"/>
  </sheetPr>
  <dimension ref="A1:S253"/>
  <sheetViews>
    <sheetView topLeftCell="G1" zoomScale="90" zoomScaleNormal="90" workbookViewId="0">
      <selection activeCell="K3" sqref="K3"/>
    </sheetView>
  </sheetViews>
  <sheetFormatPr defaultColWidth="8.85546875" defaultRowHeight="12.75" x14ac:dyDescent="0.25"/>
  <cols>
    <col min="1" max="1" width="5.85546875" style="15" customWidth="1"/>
    <col min="2" max="2" width="12.85546875" style="15" customWidth="1"/>
    <col min="3" max="3" width="34.28515625" style="15" customWidth="1"/>
    <col min="4" max="4" width="15.5703125" style="15" bestFit="1" customWidth="1"/>
    <col min="5" max="5" width="34.28515625" style="15" customWidth="1"/>
    <col min="6" max="6" width="13.140625" style="15" bestFit="1" customWidth="1"/>
    <col min="7" max="7" width="20.140625" style="15" bestFit="1" customWidth="1"/>
    <col min="8" max="8" width="30.5703125" style="15" bestFit="1" customWidth="1"/>
    <col min="9" max="9" width="12.140625" style="15" bestFit="1" customWidth="1"/>
    <col min="10" max="10" width="17" style="15" bestFit="1" customWidth="1"/>
    <col min="11" max="11" width="7.7109375" style="16" customWidth="1"/>
    <col min="12" max="12" width="11.5703125" style="15" bestFit="1" customWidth="1"/>
    <col min="13" max="13" width="18.85546875" style="15" bestFit="1" customWidth="1"/>
    <col min="14" max="14" width="21.5703125" style="15" customWidth="1"/>
    <col min="15" max="15" width="18.85546875" style="15" customWidth="1"/>
    <col min="16" max="16" width="13.140625" style="15" bestFit="1" customWidth="1"/>
    <col min="17" max="17" width="16.85546875" style="15" bestFit="1" customWidth="1"/>
    <col min="18" max="18" width="17.85546875" style="16" bestFit="1" customWidth="1"/>
    <col min="19" max="19" width="23.140625" style="15" customWidth="1"/>
    <col min="20" max="16384" width="8.85546875" style="15"/>
  </cols>
  <sheetData>
    <row r="1" spans="1:19" s="5" customFormat="1" ht="13.5" thickBot="1" x14ac:dyDescent="0.3">
      <c r="A1" s="32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4" t="s">
        <v>10</v>
      </c>
      <c r="L1" s="33" t="s">
        <v>11</v>
      </c>
      <c r="M1" s="33" t="s">
        <v>12</v>
      </c>
      <c r="N1" s="33" t="s">
        <v>13</v>
      </c>
      <c r="O1" s="33" t="s">
        <v>14</v>
      </c>
      <c r="P1" s="33" t="s">
        <v>15</v>
      </c>
      <c r="Q1" s="33" t="s">
        <v>16</v>
      </c>
      <c r="R1" s="34" t="s">
        <v>17</v>
      </c>
      <c r="S1" s="35" t="s">
        <v>18</v>
      </c>
    </row>
    <row r="2" spans="1:19" s="3" customFormat="1" x14ac:dyDescent="0.2">
      <c r="A2" s="1">
        <v>1</v>
      </c>
      <c r="B2" s="1" t="s">
        <v>48</v>
      </c>
      <c r="C2" s="1" t="s">
        <v>49</v>
      </c>
      <c r="D2" s="1" t="s">
        <v>50</v>
      </c>
      <c r="E2" s="1" t="s">
        <v>51</v>
      </c>
      <c r="F2" s="1" t="s">
        <v>42</v>
      </c>
      <c r="G2" s="1" t="s">
        <v>52</v>
      </c>
      <c r="H2" s="1" t="s">
        <v>53</v>
      </c>
      <c r="I2" s="1" t="s">
        <v>25</v>
      </c>
      <c r="J2" s="1" t="s">
        <v>54</v>
      </c>
      <c r="K2" s="56">
        <f ca="1">ROUNDDOWN((TODAY()-J2)/365,0)</f>
        <v>37</v>
      </c>
      <c r="L2" s="79" t="str">
        <f ca="1">_xlfn.XLOOKUP(K2,'Age Range'!A:A,'Age Range'!B:B)</f>
        <v>30-39</v>
      </c>
      <c r="M2" s="6" t="s">
        <v>55</v>
      </c>
      <c r="N2" s="56">
        <f t="shared" ref="N2:N65" ca="1" si="0">ROUNDDOWN((TODAY()-M2)/365,0)</f>
        <v>22</v>
      </c>
      <c r="O2" s="79" t="str">
        <f ca="1">_xlfn.XLOOKUP(N2,'LOS Range'!A:A,'LOS Range'!B:B)</f>
        <v>Above 20 years</v>
      </c>
      <c r="P2" s="1" t="s">
        <v>56</v>
      </c>
      <c r="Q2" s="1" t="s">
        <v>29</v>
      </c>
      <c r="R2" s="2">
        <v>186944.05586160001</v>
      </c>
      <c r="S2" s="1">
        <v>90</v>
      </c>
    </row>
    <row r="3" spans="1:19" s="3" customFormat="1" x14ac:dyDescent="0.2">
      <c r="A3" s="1">
        <v>2</v>
      </c>
      <c r="B3" s="1" t="s">
        <v>57</v>
      </c>
      <c r="C3" s="1" t="s">
        <v>58</v>
      </c>
      <c r="D3" s="1" t="s">
        <v>59</v>
      </c>
      <c r="E3" s="1" t="s">
        <v>60</v>
      </c>
      <c r="F3" s="1" t="s">
        <v>61</v>
      </c>
      <c r="G3" s="1" t="s">
        <v>52</v>
      </c>
      <c r="H3" s="1" t="s">
        <v>62</v>
      </c>
      <c r="I3" s="1" t="s">
        <v>63</v>
      </c>
      <c r="J3" s="1" t="s">
        <v>64</v>
      </c>
      <c r="K3" s="56">
        <f t="shared" ref="K2:K65" ca="1" si="1">ROUNDDOWN((TODAY()-J3)/365,0)</f>
        <v>53</v>
      </c>
      <c r="L3" s="79" t="str">
        <f ca="1">_xlfn.XLOOKUP(K3,'Age Range'!A:A,'Age Range'!B:B)</f>
        <v>50-55</v>
      </c>
      <c r="M3" s="8" t="s">
        <v>65</v>
      </c>
      <c r="N3" s="56">
        <f t="shared" ca="1" si="0"/>
        <v>24</v>
      </c>
      <c r="O3" s="79" t="str">
        <f ca="1">_xlfn.XLOOKUP(N3,'LOS Range'!A:A,'LOS Range'!B:B)</f>
        <v>Above 20 years</v>
      </c>
      <c r="P3" s="1" t="s">
        <v>66</v>
      </c>
      <c r="Q3" s="1" t="s">
        <v>29</v>
      </c>
      <c r="R3" s="2">
        <v>186729.5807352</v>
      </c>
      <c r="S3" s="1">
        <v>91</v>
      </c>
    </row>
    <row r="4" spans="1:19" s="3" customFormat="1" x14ac:dyDescent="0.2">
      <c r="A4" s="1">
        <v>3</v>
      </c>
      <c r="B4" s="1" t="s">
        <v>67</v>
      </c>
      <c r="C4" s="1" t="s">
        <v>68</v>
      </c>
      <c r="D4" s="1" t="s">
        <v>69</v>
      </c>
      <c r="E4" s="1" t="s">
        <v>70</v>
      </c>
      <c r="F4" s="1" t="s">
        <v>42</v>
      </c>
      <c r="G4" s="1" t="s">
        <v>52</v>
      </c>
      <c r="H4" s="1" t="s">
        <v>71</v>
      </c>
      <c r="I4" s="1" t="s">
        <v>63</v>
      </c>
      <c r="J4" s="1" t="s">
        <v>72</v>
      </c>
      <c r="K4" s="56">
        <f t="shared" ca="1" si="1"/>
        <v>34</v>
      </c>
      <c r="L4" s="79" t="str">
        <f ca="1">_xlfn.XLOOKUP(K4,'Age Range'!A:A,'Age Range'!B:B)</f>
        <v>30-39</v>
      </c>
      <c r="M4" s="8" t="s">
        <v>73</v>
      </c>
      <c r="N4" s="56">
        <f t="shared" ca="1" si="0"/>
        <v>21</v>
      </c>
      <c r="O4" s="79" t="str">
        <f ca="1">_xlfn.XLOOKUP(N4,'LOS Range'!A:A,'LOS Range'!B:B)</f>
        <v>Above 20 years</v>
      </c>
      <c r="P4" s="1" t="s">
        <v>28</v>
      </c>
      <c r="Q4" s="1" t="s">
        <v>29</v>
      </c>
      <c r="R4" s="2">
        <v>184575.2232672</v>
      </c>
      <c r="S4" s="1">
        <v>92</v>
      </c>
    </row>
    <row r="5" spans="1:19" s="3" customFormat="1" x14ac:dyDescent="0.2">
      <c r="A5" s="1">
        <v>4</v>
      </c>
      <c r="B5" s="1" t="s">
        <v>74</v>
      </c>
      <c r="C5" s="1" t="s">
        <v>75</v>
      </c>
      <c r="D5" s="1" t="s">
        <v>76</v>
      </c>
      <c r="E5" s="1" t="s">
        <v>77</v>
      </c>
      <c r="F5" s="1" t="s">
        <v>42</v>
      </c>
      <c r="G5" s="1" t="s">
        <v>78</v>
      </c>
      <c r="H5" s="1" t="s">
        <v>79</v>
      </c>
      <c r="I5" s="1" t="s">
        <v>63</v>
      </c>
      <c r="J5" s="1" t="s">
        <v>80</v>
      </c>
      <c r="K5" s="56">
        <f t="shared" ca="1" si="1"/>
        <v>38</v>
      </c>
      <c r="L5" s="79" t="str">
        <f ca="1">_xlfn.XLOOKUP(K5,'Age Range'!A:A,'Age Range'!B:B)</f>
        <v>30-39</v>
      </c>
      <c r="M5" s="8" t="s">
        <v>81</v>
      </c>
      <c r="N5" s="56">
        <f t="shared" ca="1" si="0"/>
        <v>16</v>
      </c>
      <c r="O5" s="79" t="str">
        <f ca="1">_xlfn.XLOOKUP(N5,'LOS Range'!A:A,'LOS Range'!B:B)</f>
        <v>15 - 19 years</v>
      </c>
      <c r="P5" s="1" t="s">
        <v>28</v>
      </c>
      <c r="Q5" s="1" t="s">
        <v>29</v>
      </c>
      <c r="R5" s="2">
        <v>138336.30410880002</v>
      </c>
      <c r="S5" s="1">
        <v>93</v>
      </c>
    </row>
    <row r="6" spans="1:19" s="3" customFormat="1" x14ac:dyDescent="0.2">
      <c r="A6" s="1">
        <v>5</v>
      </c>
      <c r="B6" s="1" t="s">
        <v>82</v>
      </c>
      <c r="C6" s="1" t="s">
        <v>83</v>
      </c>
      <c r="D6" s="1" t="s">
        <v>84</v>
      </c>
      <c r="E6" s="1" t="s">
        <v>85</v>
      </c>
      <c r="F6" s="1" t="s">
        <v>42</v>
      </c>
      <c r="G6" s="1" t="s">
        <v>78</v>
      </c>
      <c r="H6" s="1" t="s">
        <v>86</v>
      </c>
      <c r="I6" s="1" t="s">
        <v>63</v>
      </c>
      <c r="J6" s="1" t="s">
        <v>87</v>
      </c>
      <c r="K6" s="56">
        <f t="shared" ca="1" si="1"/>
        <v>42</v>
      </c>
      <c r="L6" s="79" t="str">
        <f ca="1">_xlfn.XLOOKUP(K6,'Age Range'!A:A,'Age Range'!B:B)</f>
        <v>40-49</v>
      </c>
      <c r="M6" s="8" t="s">
        <v>88</v>
      </c>
      <c r="N6" s="56">
        <f t="shared" ca="1" si="0"/>
        <v>28</v>
      </c>
      <c r="O6" s="79" t="str">
        <f ca="1">_xlfn.XLOOKUP(N6,'LOS Range'!A:A,'LOS Range'!B:B)</f>
        <v>Above 20 years</v>
      </c>
      <c r="P6" s="1" t="s">
        <v>28</v>
      </c>
      <c r="Q6" s="1" t="s">
        <v>29</v>
      </c>
      <c r="R6" s="2">
        <v>177205.6164768</v>
      </c>
      <c r="S6" s="1">
        <v>94</v>
      </c>
    </row>
    <row r="7" spans="1:19" s="3" customFormat="1" x14ac:dyDescent="0.2">
      <c r="A7" s="1">
        <v>6</v>
      </c>
      <c r="B7" s="1" t="s">
        <v>89</v>
      </c>
      <c r="C7" s="1" t="s">
        <v>90</v>
      </c>
      <c r="D7" s="1" t="s">
        <v>91</v>
      </c>
      <c r="E7" s="1" t="s">
        <v>92</v>
      </c>
      <c r="F7" s="1" t="s">
        <v>34</v>
      </c>
      <c r="G7" s="1" t="s">
        <v>35</v>
      </c>
      <c r="H7" s="1" t="s">
        <v>24</v>
      </c>
      <c r="I7" s="1" t="s">
        <v>63</v>
      </c>
      <c r="J7" s="1" t="s">
        <v>93</v>
      </c>
      <c r="K7" s="56">
        <f t="shared" ca="1" si="1"/>
        <v>41</v>
      </c>
      <c r="L7" s="79" t="str">
        <f ca="1">_xlfn.XLOOKUP(K7,'Age Range'!A:A,'Age Range'!B:B)</f>
        <v>40-49</v>
      </c>
      <c r="M7" s="8" t="s">
        <v>81</v>
      </c>
      <c r="N7" s="56">
        <f t="shared" ca="1" si="0"/>
        <v>16</v>
      </c>
      <c r="O7" s="79" t="str">
        <f ca="1">_xlfn.XLOOKUP(N7,'LOS Range'!A:A,'LOS Range'!B:B)</f>
        <v>15 - 19 years</v>
      </c>
      <c r="P7" s="1" t="s">
        <v>28</v>
      </c>
      <c r="Q7" s="1" t="s">
        <v>29</v>
      </c>
      <c r="R7" s="2">
        <v>141339.48264</v>
      </c>
      <c r="S7" s="1">
        <v>95</v>
      </c>
    </row>
    <row r="8" spans="1:19" s="3" customFormat="1" x14ac:dyDescent="0.2">
      <c r="A8" s="1">
        <v>7</v>
      </c>
      <c r="B8" s="1" t="s">
        <v>94</v>
      </c>
      <c r="C8" s="1" t="s">
        <v>95</v>
      </c>
      <c r="D8" s="1" t="s">
        <v>96</v>
      </c>
      <c r="E8" s="1" t="s">
        <v>97</v>
      </c>
      <c r="F8" s="1" t="s">
        <v>34</v>
      </c>
      <c r="G8" s="1" t="s">
        <v>35</v>
      </c>
      <c r="H8" s="1" t="s">
        <v>24</v>
      </c>
      <c r="I8" s="1" t="s">
        <v>63</v>
      </c>
      <c r="J8" s="1" t="s">
        <v>98</v>
      </c>
      <c r="K8" s="56">
        <f t="shared" ca="1" si="1"/>
        <v>33</v>
      </c>
      <c r="L8" s="79" t="str">
        <f ca="1">_xlfn.XLOOKUP(K8,'Age Range'!A:A,'Age Range'!B:B)</f>
        <v>30-39</v>
      </c>
      <c r="M8" s="8" t="s">
        <v>81</v>
      </c>
      <c r="N8" s="56">
        <f t="shared" ca="1" si="0"/>
        <v>16</v>
      </c>
      <c r="O8" s="79" t="str">
        <f ca="1">_xlfn.XLOOKUP(N8,'LOS Range'!A:A,'LOS Range'!B:B)</f>
        <v>15 - 19 years</v>
      </c>
      <c r="P8" s="1" t="s">
        <v>99</v>
      </c>
      <c r="Q8" s="1" t="s">
        <v>29</v>
      </c>
      <c r="R8" s="2">
        <v>262557.03749999998</v>
      </c>
      <c r="S8" s="1">
        <v>80</v>
      </c>
    </row>
    <row r="9" spans="1:19" s="3" customFormat="1" x14ac:dyDescent="0.2">
      <c r="A9" s="1">
        <v>8</v>
      </c>
      <c r="B9" s="1" t="s">
        <v>19</v>
      </c>
      <c r="C9" s="1" t="s">
        <v>20</v>
      </c>
      <c r="D9" s="1" t="s">
        <v>21</v>
      </c>
      <c r="E9" s="1" t="s">
        <v>22</v>
      </c>
      <c r="F9" s="1" t="s">
        <v>34</v>
      </c>
      <c r="G9" s="1" t="s">
        <v>23</v>
      </c>
      <c r="H9" s="1" t="s">
        <v>24</v>
      </c>
      <c r="I9" s="1" t="s">
        <v>25</v>
      </c>
      <c r="J9" s="1" t="s">
        <v>26</v>
      </c>
      <c r="K9" s="56">
        <f t="shared" ca="1" si="1"/>
        <v>36</v>
      </c>
      <c r="L9" s="79" t="str">
        <f ca="1">_xlfn.XLOOKUP(K9,'Age Range'!A:A,'Age Range'!B:B)</f>
        <v>30-39</v>
      </c>
      <c r="M9" s="8" t="s">
        <v>27</v>
      </c>
      <c r="N9" s="56">
        <f t="shared" ca="1" si="0"/>
        <v>17</v>
      </c>
      <c r="O9" s="79" t="str">
        <f ca="1">_xlfn.XLOOKUP(N9,'LOS Range'!A:A,'LOS Range'!B:B)</f>
        <v>15 - 19 years</v>
      </c>
      <c r="P9" s="1" t="s">
        <v>28</v>
      </c>
      <c r="Q9" s="1" t="s">
        <v>29</v>
      </c>
      <c r="R9" s="2">
        <v>165517.97808960002</v>
      </c>
      <c r="S9" s="1">
        <v>81</v>
      </c>
    </row>
    <row r="10" spans="1:19" s="3" customFormat="1" x14ac:dyDescent="0.2">
      <c r="A10" s="1">
        <v>9</v>
      </c>
      <c r="B10" s="1" t="s">
        <v>100</v>
      </c>
      <c r="C10" s="1" t="s">
        <v>101</v>
      </c>
      <c r="D10" s="1" t="s">
        <v>102</v>
      </c>
      <c r="E10" s="1" t="s">
        <v>103</v>
      </c>
      <c r="F10" s="1" t="s">
        <v>42</v>
      </c>
      <c r="G10" s="1" t="s">
        <v>78</v>
      </c>
      <c r="H10" s="1" t="s">
        <v>79</v>
      </c>
      <c r="I10" s="1" t="s">
        <v>25</v>
      </c>
      <c r="J10" s="1" t="s">
        <v>80</v>
      </c>
      <c r="K10" s="56">
        <f t="shared" ca="1" si="1"/>
        <v>38</v>
      </c>
      <c r="L10" s="79" t="str">
        <f ca="1">_xlfn.XLOOKUP(K10,'Age Range'!A:A,'Age Range'!B:B)</f>
        <v>30-39</v>
      </c>
      <c r="M10" s="8" t="s">
        <v>104</v>
      </c>
      <c r="N10" s="56">
        <f t="shared" ca="1" si="0"/>
        <v>17</v>
      </c>
      <c r="O10" s="79" t="str">
        <f ca="1">_xlfn.XLOOKUP(N10,'LOS Range'!A:A,'LOS Range'!B:B)</f>
        <v>15 - 19 years</v>
      </c>
      <c r="P10" s="1" t="s">
        <v>47</v>
      </c>
      <c r="Q10" s="1" t="s">
        <v>29</v>
      </c>
      <c r="R10" s="2">
        <v>262557.06</v>
      </c>
      <c r="S10" s="1">
        <v>82</v>
      </c>
    </row>
    <row r="11" spans="1:19" s="3" customFormat="1" x14ac:dyDescent="0.2">
      <c r="A11" s="1">
        <v>10</v>
      </c>
      <c r="B11" s="1" t="s">
        <v>105</v>
      </c>
      <c r="C11" s="1" t="s">
        <v>106</v>
      </c>
      <c r="D11" s="1" t="s">
        <v>107</v>
      </c>
      <c r="E11" s="1" t="s">
        <v>108</v>
      </c>
      <c r="F11" s="1" t="s">
        <v>42</v>
      </c>
      <c r="G11" s="1" t="s">
        <v>78</v>
      </c>
      <c r="H11" s="1" t="s">
        <v>79</v>
      </c>
      <c r="I11" s="1" t="s">
        <v>25</v>
      </c>
      <c r="J11" s="1" t="s">
        <v>109</v>
      </c>
      <c r="K11" s="56">
        <f t="shared" ca="1" si="1"/>
        <v>30</v>
      </c>
      <c r="L11" s="79" t="str">
        <f ca="1">_xlfn.XLOOKUP(K11,'Age Range'!A:A,'Age Range'!B:B)</f>
        <v>30-39</v>
      </c>
      <c r="M11" s="8" t="s">
        <v>65</v>
      </c>
      <c r="N11" s="56">
        <f t="shared" ca="1" si="0"/>
        <v>24</v>
      </c>
      <c r="O11" s="79" t="str">
        <f ca="1">_xlfn.XLOOKUP(N11,'LOS Range'!A:A,'LOS Range'!B:B)</f>
        <v>Above 20 years</v>
      </c>
      <c r="P11" s="1" t="s">
        <v>28</v>
      </c>
      <c r="Q11" s="1" t="s">
        <v>29</v>
      </c>
      <c r="R11" s="2">
        <v>180321.22474093264</v>
      </c>
      <c r="S11" s="1">
        <v>83</v>
      </c>
    </row>
    <row r="12" spans="1:19" s="3" customFormat="1" x14ac:dyDescent="0.2">
      <c r="A12" s="1">
        <v>11</v>
      </c>
      <c r="B12" s="1" t="s">
        <v>110</v>
      </c>
      <c r="C12" s="1" t="s">
        <v>111</v>
      </c>
      <c r="D12" s="1" t="s">
        <v>112</v>
      </c>
      <c r="E12" s="1" t="s">
        <v>113</v>
      </c>
      <c r="F12" s="1" t="s">
        <v>42</v>
      </c>
      <c r="G12" s="1" t="s">
        <v>78</v>
      </c>
      <c r="H12" s="1" t="s">
        <v>79</v>
      </c>
      <c r="I12" s="1" t="s">
        <v>25</v>
      </c>
      <c r="J12" s="1" t="s">
        <v>114</v>
      </c>
      <c r="K12" s="56">
        <f t="shared" ca="1" si="1"/>
        <v>37</v>
      </c>
      <c r="L12" s="79" t="str">
        <f ca="1">_xlfn.XLOOKUP(K12,'Age Range'!A:A,'Age Range'!B:B)</f>
        <v>30-39</v>
      </c>
      <c r="M12" s="8" t="s">
        <v>81</v>
      </c>
      <c r="N12" s="56">
        <f t="shared" ca="1" si="0"/>
        <v>16</v>
      </c>
      <c r="O12" s="79" t="str">
        <f ca="1">_xlfn.XLOOKUP(N12,'LOS Range'!A:A,'LOS Range'!B:B)</f>
        <v>15 - 19 years</v>
      </c>
      <c r="P12" s="1" t="s">
        <v>28</v>
      </c>
      <c r="Q12" s="1" t="s">
        <v>29</v>
      </c>
      <c r="R12" s="2">
        <v>198454.06217616581</v>
      </c>
      <c r="S12" s="1">
        <v>84</v>
      </c>
    </row>
    <row r="13" spans="1:19" s="3" customFormat="1" x14ac:dyDescent="0.2">
      <c r="A13" s="1">
        <v>12</v>
      </c>
      <c r="B13" s="1" t="s">
        <v>115</v>
      </c>
      <c r="C13" s="1" t="s">
        <v>116</v>
      </c>
      <c r="D13" s="1" t="s">
        <v>117</v>
      </c>
      <c r="E13" s="1" t="s">
        <v>118</v>
      </c>
      <c r="F13" s="1" t="s">
        <v>42</v>
      </c>
      <c r="G13" s="1" t="s">
        <v>78</v>
      </c>
      <c r="H13" s="1" t="s">
        <v>79</v>
      </c>
      <c r="I13" s="1" t="s">
        <v>25</v>
      </c>
      <c r="J13" s="1" t="s">
        <v>119</v>
      </c>
      <c r="K13" s="56">
        <f t="shared" ca="1" si="1"/>
        <v>36</v>
      </c>
      <c r="L13" s="79" t="str">
        <f ca="1">_xlfn.XLOOKUP(K13,'Age Range'!A:A,'Age Range'!B:B)</f>
        <v>30-39</v>
      </c>
      <c r="M13" s="8" t="s">
        <v>120</v>
      </c>
      <c r="N13" s="56">
        <f t="shared" ca="1" si="0"/>
        <v>21</v>
      </c>
      <c r="O13" s="79" t="str">
        <f ca="1">_xlfn.XLOOKUP(N13,'LOS Range'!A:A,'LOS Range'!B:B)</f>
        <v>Above 20 years</v>
      </c>
      <c r="P13" s="1" t="s">
        <v>121</v>
      </c>
      <c r="Q13" s="1" t="s">
        <v>29</v>
      </c>
      <c r="R13" s="2">
        <v>150744.38371199998</v>
      </c>
      <c r="S13" s="1">
        <v>85</v>
      </c>
    </row>
    <row r="14" spans="1:19" s="3" customFormat="1" x14ac:dyDescent="0.2">
      <c r="A14" s="1">
        <v>13</v>
      </c>
      <c r="B14" s="1" t="s">
        <v>122</v>
      </c>
      <c r="C14" s="1" t="s">
        <v>123</v>
      </c>
      <c r="D14" s="1" t="s">
        <v>117</v>
      </c>
      <c r="E14" s="1" t="s">
        <v>124</v>
      </c>
      <c r="F14" s="1" t="s">
        <v>42</v>
      </c>
      <c r="G14" s="1" t="s">
        <v>78</v>
      </c>
      <c r="H14" s="1" t="s">
        <v>79</v>
      </c>
      <c r="I14" s="1" t="s">
        <v>25</v>
      </c>
      <c r="J14" s="1" t="s">
        <v>125</v>
      </c>
      <c r="K14" s="56">
        <f t="shared" ca="1" si="1"/>
        <v>35</v>
      </c>
      <c r="L14" s="79" t="str">
        <f ca="1">_xlfn.XLOOKUP(K14,'Age Range'!A:A,'Age Range'!B:B)</f>
        <v>30-39</v>
      </c>
      <c r="M14" s="8" t="s">
        <v>126</v>
      </c>
      <c r="N14" s="56">
        <f t="shared" ca="1" si="0"/>
        <v>19</v>
      </c>
      <c r="O14" s="79" t="str">
        <f ca="1">_xlfn.XLOOKUP(N14,'LOS Range'!A:A,'LOS Range'!B:B)</f>
        <v>15 - 19 years</v>
      </c>
      <c r="P14" s="1" t="s">
        <v>28</v>
      </c>
      <c r="Q14" s="1" t="s">
        <v>29</v>
      </c>
      <c r="R14" s="2">
        <v>470870.3</v>
      </c>
      <c r="S14" s="1">
        <v>70</v>
      </c>
    </row>
    <row r="15" spans="1:19" s="3" customFormat="1" x14ac:dyDescent="0.2">
      <c r="A15" s="1">
        <v>14</v>
      </c>
      <c r="B15" s="1" t="s">
        <v>127</v>
      </c>
      <c r="C15" s="1" t="s">
        <v>128</v>
      </c>
      <c r="D15" s="1" t="s">
        <v>129</v>
      </c>
      <c r="E15" s="1" t="s">
        <v>130</v>
      </c>
      <c r="F15" s="1" t="s">
        <v>42</v>
      </c>
      <c r="G15" s="1" t="s">
        <v>78</v>
      </c>
      <c r="H15" s="1" t="s">
        <v>131</v>
      </c>
      <c r="I15" s="1" t="s">
        <v>25</v>
      </c>
      <c r="J15" s="1" t="s">
        <v>132</v>
      </c>
      <c r="K15" s="56">
        <f t="shared" ca="1" si="1"/>
        <v>29</v>
      </c>
      <c r="L15" s="79" t="str">
        <f ca="1">_xlfn.XLOOKUP(K15,'Age Range'!A:A,'Age Range'!B:B)</f>
        <v>20-29</v>
      </c>
      <c r="M15" s="8" t="s">
        <v>133</v>
      </c>
      <c r="N15" s="56">
        <f t="shared" ca="1" si="0"/>
        <v>24</v>
      </c>
      <c r="O15" s="79" t="str">
        <f ca="1">_xlfn.XLOOKUP(N15,'LOS Range'!A:A,'LOS Range'!B:B)</f>
        <v>Above 20 years</v>
      </c>
      <c r="P15" s="1" t="s">
        <v>56</v>
      </c>
      <c r="Q15" s="1" t="s">
        <v>29</v>
      </c>
      <c r="R15" s="2">
        <v>364219.73491988727</v>
      </c>
      <c r="S15" s="1">
        <v>71</v>
      </c>
    </row>
    <row r="16" spans="1:19" s="3" customFormat="1" x14ac:dyDescent="0.2">
      <c r="A16" s="1">
        <v>15</v>
      </c>
      <c r="B16" s="1" t="s">
        <v>134</v>
      </c>
      <c r="C16" s="1" t="s">
        <v>135</v>
      </c>
      <c r="D16" s="1" t="s">
        <v>136</v>
      </c>
      <c r="E16" s="1" t="s">
        <v>137</v>
      </c>
      <c r="F16" s="1" t="s">
        <v>42</v>
      </c>
      <c r="G16" s="1" t="s">
        <v>78</v>
      </c>
      <c r="H16" s="1" t="s">
        <v>79</v>
      </c>
      <c r="I16" s="1" t="s">
        <v>25</v>
      </c>
      <c r="J16" s="1" t="s">
        <v>138</v>
      </c>
      <c r="K16" s="56">
        <f t="shared" ca="1" si="1"/>
        <v>40</v>
      </c>
      <c r="L16" s="79" t="str">
        <f ca="1">_xlfn.XLOOKUP(K16,'Age Range'!A:A,'Age Range'!B:B)</f>
        <v>40-49</v>
      </c>
      <c r="M16" s="8" t="s">
        <v>139</v>
      </c>
      <c r="N16" s="56">
        <f t="shared" ca="1" si="0"/>
        <v>15</v>
      </c>
      <c r="O16" s="79" t="str">
        <f ca="1">_xlfn.XLOOKUP(N16,'LOS Range'!A:A,'LOS Range'!B:B)</f>
        <v>15 - 19 years</v>
      </c>
      <c r="P16" s="1" t="s">
        <v>56</v>
      </c>
      <c r="Q16" s="1" t="s">
        <v>29</v>
      </c>
      <c r="R16" s="2">
        <v>198454.06217616581</v>
      </c>
      <c r="S16" s="1">
        <v>72</v>
      </c>
    </row>
    <row r="17" spans="1:19" s="3" customFormat="1" x14ac:dyDescent="0.2">
      <c r="A17" s="1">
        <v>16</v>
      </c>
      <c r="B17" s="1" t="s">
        <v>140</v>
      </c>
      <c r="C17" s="1" t="s">
        <v>141</v>
      </c>
      <c r="D17" s="1" t="s">
        <v>142</v>
      </c>
      <c r="E17" s="1" t="s">
        <v>143</v>
      </c>
      <c r="F17" s="1" t="s">
        <v>42</v>
      </c>
      <c r="G17" s="1" t="s">
        <v>78</v>
      </c>
      <c r="H17" s="1" t="s">
        <v>131</v>
      </c>
      <c r="I17" s="1" t="s">
        <v>25</v>
      </c>
      <c r="J17" s="1" t="s">
        <v>144</v>
      </c>
      <c r="K17" s="56">
        <f t="shared" ca="1" si="1"/>
        <v>44</v>
      </c>
      <c r="L17" s="79" t="str">
        <f ca="1">_xlfn.XLOOKUP(K17,'Age Range'!A:A,'Age Range'!B:B)</f>
        <v>40-49</v>
      </c>
      <c r="M17" s="8" t="s">
        <v>27</v>
      </c>
      <c r="N17" s="56">
        <f t="shared" ca="1" si="0"/>
        <v>17</v>
      </c>
      <c r="O17" s="79" t="str">
        <f ca="1">_xlfn.XLOOKUP(N17,'LOS Range'!A:A,'LOS Range'!B:B)</f>
        <v>15 - 19 years</v>
      </c>
      <c r="P17" s="1" t="s">
        <v>28</v>
      </c>
      <c r="Q17" s="1" t="s">
        <v>29</v>
      </c>
      <c r="R17" s="2">
        <v>364219.73491988727</v>
      </c>
      <c r="S17" s="1">
        <v>73</v>
      </c>
    </row>
    <row r="18" spans="1:19" s="3" customFormat="1" x14ac:dyDescent="0.2">
      <c r="A18" s="1">
        <v>17</v>
      </c>
      <c r="B18" s="1" t="s">
        <v>145</v>
      </c>
      <c r="C18" s="1" t="s">
        <v>146</v>
      </c>
      <c r="D18" s="1" t="s">
        <v>147</v>
      </c>
      <c r="E18" s="1" t="s">
        <v>148</v>
      </c>
      <c r="F18" s="1" t="s">
        <v>42</v>
      </c>
      <c r="G18" s="1" t="s">
        <v>78</v>
      </c>
      <c r="H18" s="1" t="s">
        <v>79</v>
      </c>
      <c r="I18" s="1" t="s">
        <v>63</v>
      </c>
      <c r="J18" s="1" t="s">
        <v>149</v>
      </c>
      <c r="K18" s="56">
        <f t="shared" ca="1" si="1"/>
        <v>33</v>
      </c>
      <c r="L18" s="79" t="str">
        <f ca="1">_xlfn.XLOOKUP(K18,'Age Range'!A:A,'Age Range'!B:B)</f>
        <v>30-39</v>
      </c>
      <c r="M18" s="8" t="s">
        <v>150</v>
      </c>
      <c r="N18" s="56">
        <f t="shared" ca="1" si="0"/>
        <v>23</v>
      </c>
      <c r="O18" s="79" t="str">
        <f ca="1">_xlfn.XLOOKUP(N18,'LOS Range'!A:A,'LOS Range'!B:B)</f>
        <v>Above 20 years</v>
      </c>
      <c r="P18" s="1" t="s">
        <v>28</v>
      </c>
      <c r="Q18" s="1" t="s">
        <v>29</v>
      </c>
      <c r="R18" s="2">
        <v>159132.664284</v>
      </c>
      <c r="S18" s="1">
        <v>74</v>
      </c>
    </row>
    <row r="19" spans="1:19" s="3" customFormat="1" x14ac:dyDescent="0.2">
      <c r="A19" s="1">
        <v>18</v>
      </c>
      <c r="B19" s="1" t="s">
        <v>151</v>
      </c>
      <c r="C19" s="1" t="s">
        <v>152</v>
      </c>
      <c r="D19" s="1" t="s">
        <v>153</v>
      </c>
      <c r="E19" s="1" t="s">
        <v>154</v>
      </c>
      <c r="F19" s="1" t="s">
        <v>42</v>
      </c>
      <c r="G19" s="1" t="s">
        <v>78</v>
      </c>
      <c r="H19" s="1" t="s">
        <v>79</v>
      </c>
      <c r="I19" s="1" t="s">
        <v>25</v>
      </c>
      <c r="J19" s="1" t="s">
        <v>155</v>
      </c>
      <c r="K19" s="56">
        <f t="shared" ca="1" si="1"/>
        <v>35</v>
      </c>
      <c r="L19" s="79" t="str">
        <f ca="1">_xlfn.XLOOKUP(K19,'Age Range'!A:A,'Age Range'!B:B)</f>
        <v>30-39</v>
      </c>
      <c r="M19" s="8" t="s">
        <v>104</v>
      </c>
      <c r="N19" s="56">
        <f t="shared" ca="1" si="0"/>
        <v>17</v>
      </c>
      <c r="O19" s="79" t="str">
        <f ca="1">_xlfn.XLOOKUP(N19,'LOS Range'!A:A,'LOS Range'!B:B)</f>
        <v>15 - 19 years</v>
      </c>
      <c r="P19" s="1" t="s">
        <v>28</v>
      </c>
      <c r="Q19" s="1" t="s">
        <v>29</v>
      </c>
      <c r="R19" s="2">
        <v>331994.80499999999</v>
      </c>
      <c r="S19" s="1">
        <v>75</v>
      </c>
    </row>
    <row r="20" spans="1:19" s="3" customFormat="1" x14ac:dyDescent="0.2">
      <c r="A20" s="1">
        <v>19</v>
      </c>
      <c r="B20" s="1" t="s">
        <v>156</v>
      </c>
      <c r="C20" s="1" t="s">
        <v>157</v>
      </c>
      <c r="D20" s="1" t="s">
        <v>153</v>
      </c>
      <c r="E20" s="1" t="s">
        <v>158</v>
      </c>
      <c r="F20" s="1" t="s">
        <v>42</v>
      </c>
      <c r="G20" s="1" t="s">
        <v>78</v>
      </c>
      <c r="H20" s="1" t="s">
        <v>79</v>
      </c>
      <c r="I20" s="1" t="s">
        <v>63</v>
      </c>
      <c r="J20" s="1" t="s">
        <v>159</v>
      </c>
      <c r="K20" s="56">
        <f t="shared" ca="1" si="1"/>
        <v>29</v>
      </c>
      <c r="L20" s="79" t="str">
        <f ca="1">_xlfn.XLOOKUP(K20,'Age Range'!A:A,'Age Range'!B:B)</f>
        <v>20-29</v>
      </c>
      <c r="M20" s="8" t="s">
        <v>65</v>
      </c>
      <c r="N20" s="56">
        <f t="shared" ca="1" si="0"/>
        <v>24</v>
      </c>
      <c r="O20" s="79" t="str">
        <f ca="1">_xlfn.XLOOKUP(N20,'LOS Range'!A:A,'LOS Range'!B:B)</f>
        <v>Above 20 years</v>
      </c>
      <c r="P20" s="1" t="s">
        <v>28</v>
      </c>
      <c r="Q20" s="1" t="s">
        <v>29</v>
      </c>
      <c r="R20" s="2">
        <v>150868.79035199998</v>
      </c>
      <c r="S20" s="1">
        <v>60</v>
      </c>
    </row>
    <row r="21" spans="1:19" s="3" customFormat="1" x14ac:dyDescent="0.2">
      <c r="A21" s="1">
        <v>20</v>
      </c>
      <c r="B21" s="1" t="s">
        <v>160</v>
      </c>
      <c r="C21" s="1" t="s">
        <v>161</v>
      </c>
      <c r="D21" s="1" t="s">
        <v>130</v>
      </c>
      <c r="E21" s="1" t="s">
        <v>92</v>
      </c>
      <c r="F21" s="1" t="s">
        <v>42</v>
      </c>
      <c r="G21" s="1" t="s">
        <v>78</v>
      </c>
      <c r="H21" s="1" t="s">
        <v>79</v>
      </c>
      <c r="I21" s="1" t="s">
        <v>25</v>
      </c>
      <c r="J21" s="1" t="s">
        <v>162</v>
      </c>
      <c r="K21" s="56">
        <f t="shared" ca="1" si="1"/>
        <v>32</v>
      </c>
      <c r="L21" s="79" t="str">
        <f ca="1">_xlfn.XLOOKUP(K21,'Age Range'!A:A,'Age Range'!B:B)</f>
        <v>30-39</v>
      </c>
      <c r="M21" s="8" t="s">
        <v>163</v>
      </c>
      <c r="N21" s="56">
        <f t="shared" ca="1" si="0"/>
        <v>15</v>
      </c>
      <c r="O21" s="79" t="str">
        <f ca="1">_xlfn.XLOOKUP(N21,'LOS Range'!A:A,'LOS Range'!B:B)</f>
        <v>15 - 19 years</v>
      </c>
      <c r="P21" s="1" t="s">
        <v>28</v>
      </c>
      <c r="Q21" s="1" t="s">
        <v>29</v>
      </c>
      <c r="R21" s="2">
        <v>141721.73157119998</v>
      </c>
      <c r="S21" s="1">
        <v>61</v>
      </c>
    </row>
    <row r="22" spans="1:19" s="3" customFormat="1" x14ac:dyDescent="0.2">
      <c r="A22" s="1">
        <v>21</v>
      </c>
      <c r="B22" s="1" t="s">
        <v>164</v>
      </c>
      <c r="C22" s="1" t="s">
        <v>165</v>
      </c>
      <c r="D22" s="1" t="s">
        <v>166</v>
      </c>
      <c r="E22" s="1" t="s">
        <v>167</v>
      </c>
      <c r="F22" s="1" t="s">
        <v>42</v>
      </c>
      <c r="G22" s="1" t="s">
        <v>78</v>
      </c>
      <c r="H22" s="1" t="s">
        <v>79</v>
      </c>
      <c r="I22" s="1" t="s">
        <v>63</v>
      </c>
      <c r="J22" s="1" t="s">
        <v>168</v>
      </c>
      <c r="K22" s="56">
        <f t="shared" ca="1" si="1"/>
        <v>29</v>
      </c>
      <c r="L22" s="79" t="str">
        <f ca="1">_xlfn.XLOOKUP(K22,'Age Range'!A:A,'Age Range'!B:B)</f>
        <v>20-29</v>
      </c>
      <c r="M22" s="8" t="s">
        <v>163</v>
      </c>
      <c r="N22" s="56">
        <f t="shared" ca="1" si="0"/>
        <v>15</v>
      </c>
      <c r="O22" s="79" t="str">
        <f ca="1">_xlfn.XLOOKUP(N22,'LOS Range'!A:A,'LOS Range'!B:B)</f>
        <v>15 - 19 years</v>
      </c>
      <c r="P22" s="1" t="s">
        <v>28</v>
      </c>
      <c r="Q22" s="1" t="s">
        <v>29</v>
      </c>
      <c r="R22" s="2">
        <v>193119.3125</v>
      </c>
      <c r="S22" s="1">
        <v>62</v>
      </c>
    </row>
    <row r="23" spans="1:19" s="3" customFormat="1" x14ac:dyDescent="0.2">
      <c r="A23" s="1">
        <v>22</v>
      </c>
      <c r="B23" s="1" t="s">
        <v>169</v>
      </c>
      <c r="C23" s="1" t="s">
        <v>170</v>
      </c>
      <c r="D23" s="1" t="s">
        <v>171</v>
      </c>
      <c r="E23" s="1" t="s">
        <v>172</v>
      </c>
      <c r="F23" s="1" t="s">
        <v>42</v>
      </c>
      <c r="G23" s="1" t="s">
        <v>78</v>
      </c>
      <c r="H23" s="1" t="s">
        <v>79</v>
      </c>
      <c r="I23" s="1" t="s">
        <v>25</v>
      </c>
      <c r="J23" s="1" t="s">
        <v>173</v>
      </c>
      <c r="K23" s="56">
        <f t="shared" ca="1" si="1"/>
        <v>34</v>
      </c>
      <c r="L23" s="79" t="str">
        <f ca="1">_xlfn.XLOOKUP(K23,'Age Range'!A:A,'Age Range'!B:B)</f>
        <v>30-39</v>
      </c>
      <c r="M23" s="8" t="s">
        <v>174</v>
      </c>
      <c r="N23" s="56">
        <f t="shared" ca="1" si="0"/>
        <v>15</v>
      </c>
      <c r="O23" s="79" t="str">
        <f ca="1">_xlfn.XLOOKUP(N23,'LOS Range'!A:A,'LOS Range'!B:B)</f>
        <v>15 - 19 years</v>
      </c>
      <c r="P23" s="1" t="s">
        <v>28</v>
      </c>
      <c r="Q23" s="1" t="s">
        <v>29</v>
      </c>
      <c r="R23" s="2">
        <v>191661.95375647669</v>
      </c>
      <c r="S23" s="1">
        <v>63</v>
      </c>
    </row>
    <row r="24" spans="1:19" s="3" customFormat="1" x14ac:dyDescent="0.2">
      <c r="A24" s="1">
        <v>23</v>
      </c>
      <c r="B24" s="1" t="s">
        <v>175</v>
      </c>
      <c r="C24" s="1" t="s">
        <v>176</v>
      </c>
      <c r="D24" s="1" t="s">
        <v>177</v>
      </c>
      <c r="E24" s="1" t="s">
        <v>178</v>
      </c>
      <c r="F24" s="1" t="s">
        <v>42</v>
      </c>
      <c r="G24" s="1" t="s">
        <v>78</v>
      </c>
      <c r="H24" s="1" t="s">
        <v>79</v>
      </c>
      <c r="I24" s="1" t="s">
        <v>63</v>
      </c>
      <c r="J24" s="1" t="s">
        <v>179</v>
      </c>
      <c r="K24" s="56">
        <f t="shared" ca="1" si="1"/>
        <v>32</v>
      </c>
      <c r="L24" s="79" t="str">
        <f ca="1">_xlfn.XLOOKUP(K24,'Age Range'!A:A,'Age Range'!B:B)</f>
        <v>30-39</v>
      </c>
      <c r="M24" s="8" t="s">
        <v>65</v>
      </c>
      <c r="N24" s="56">
        <f t="shared" ca="1" si="0"/>
        <v>24</v>
      </c>
      <c r="O24" s="79" t="str">
        <f ca="1">_xlfn.XLOOKUP(N24,'LOS Range'!A:A,'LOS Range'!B:B)</f>
        <v>Above 20 years</v>
      </c>
      <c r="P24" s="1" t="s">
        <v>28</v>
      </c>
      <c r="Q24" s="1" t="s">
        <v>29</v>
      </c>
      <c r="R24" s="2">
        <v>184192.70109359999</v>
      </c>
      <c r="S24" s="1">
        <v>64</v>
      </c>
    </row>
    <row r="25" spans="1:19" s="3" customFormat="1" x14ac:dyDescent="0.2">
      <c r="A25" s="1">
        <v>24</v>
      </c>
      <c r="B25" s="1" t="s">
        <v>30</v>
      </c>
      <c r="C25" s="1" t="s">
        <v>31</v>
      </c>
      <c r="D25" s="1" t="s">
        <v>32</v>
      </c>
      <c r="E25" s="1" t="s">
        <v>33</v>
      </c>
      <c r="F25" s="1" t="s">
        <v>34</v>
      </c>
      <c r="G25" s="1" t="s">
        <v>35</v>
      </c>
      <c r="H25" s="1" t="s">
        <v>24</v>
      </c>
      <c r="I25" s="1" t="s">
        <v>25</v>
      </c>
      <c r="J25" s="1" t="s">
        <v>36</v>
      </c>
      <c r="K25" s="56">
        <f t="shared" ca="1" si="1"/>
        <v>38</v>
      </c>
      <c r="L25" s="79" t="str">
        <f ca="1">_xlfn.XLOOKUP(K25,'Age Range'!A:A,'Age Range'!B:B)</f>
        <v>30-39</v>
      </c>
      <c r="M25" s="8" t="s">
        <v>37</v>
      </c>
      <c r="N25" s="56">
        <f t="shared" ca="1" si="0"/>
        <v>12</v>
      </c>
      <c r="O25" s="79" t="str">
        <f ca="1">_xlfn.XLOOKUP(N25,'LOS Range'!A:A,'LOS Range'!B:B)</f>
        <v>10 - 14 years</v>
      </c>
      <c r="P25" s="1" t="s">
        <v>28</v>
      </c>
      <c r="Q25" s="1" t="s">
        <v>29</v>
      </c>
      <c r="R25" s="2">
        <v>141339.53736000002</v>
      </c>
      <c r="S25" s="1">
        <v>65</v>
      </c>
    </row>
    <row r="26" spans="1:19" s="3" customFormat="1" x14ac:dyDescent="0.2">
      <c r="A26" s="1">
        <v>25</v>
      </c>
      <c r="B26" s="1" t="s">
        <v>180</v>
      </c>
      <c r="C26" s="1" t="s">
        <v>181</v>
      </c>
      <c r="D26" s="1" t="s">
        <v>182</v>
      </c>
      <c r="E26" s="1" t="s">
        <v>91</v>
      </c>
      <c r="F26" s="1" t="s">
        <v>34</v>
      </c>
      <c r="G26" s="1" t="s">
        <v>35</v>
      </c>
      <c r="H26" s="1" t="s">
        <v>24</v>
      </c>
      <c r="I26" s="1" t="s">
        <v>63</v>
      </c>
      <c r="J26" s="1" t="s">
        <v>183</v>
      </c>
      <c r="K26" s="56">
        <f t="shared" ca="1" si="1"/>
        <v>45</v>
      </c>
      <c r="L26" s="79" t="str">
        <f ca="1">_xlfn.XLOOKUP(K26,'Age Range'!A:A,'Age Range'!B:B)</f>
        <v>40-49</v>
      </c>
      <c r="M26" s="8" t="s">
        <v>184</v>
      </c>
      <c r="N26" s="56">
        <f t="shared" ca="1" si="0"/>
        <v>21</v>
      </c>
      <c r="O26" s="79" t="str">
        <f ca="1">_xlfn.XLOOKUP(N26,'LOS Range'!A:A,'LOS Range'!B:B)</f>
        <v>Above 20 years</v>
      </c>
      <c r="P26" s="1" t="s">
        <v>185</v>
      </c>
      <c r="Q26" s="1" t="s">
        <v>29</v>
      </c>
      <c r="R26" s="2">
        <v>165031.027524</v>
      </c>
      <c r="S26" s="1">
        <v>50</v>
      </c>
    </row>
    <row r="27" spans="1:19" s="3" customFormat="1" x14ac:dyDescent="0.2">
      <c r="A27" s="1">
        <v>26</v>
      </c>
      <c r="B27" s="1" t="s">
        <v>186</v>
      </c>
      <c r="C27" s="1" t="s">
        <v>187</v>
      </c>
      <c r="D27" s="1" t="s">
        <v>188</v>
      </c>
      <c r="E27" s="1" t="s">
        <v>189</v>
      </c>
      <c r="F27" s="1" t="s">
        <v>34</v>
      </c>
      <c r="G27" s="1" t="s">
        <v>35</v>
      </c>
      <c r="H27" s="1" t="s">
        <v>24</v>
      </c>
      <c r="I27" s="1" t="s">
        <v>25</v>
      </c>
      <c r="J27" s="1" t="s">
        <v>190</v>
      </c>
      <c r="K27" s="56">
        <f t="shared" ca="1" si="1"/>
        <v>43</v>
      </c>
      <c r="L27" s="79" t="str">
        <f ca="1">_xlfn.XLOOKUP(K27,'Age Range'!A:A,'Age Range'!B:B)</f>
        <v>40-49</v>
      </c>
      <c r="M27" s="8" t="s">
        <v>191</v>
      </c>
      <c r="N27" s="56">
        <f t="shared" ca="1" si="0"/>
        <v>13</v>
      </c>
      <c r="O27" s="79" t="str">
        <f ca="1">_xlfn.XLOOKUP(N27,'LOS Range'!A:A,'LOS Range'!B:B)</f>
        <v>10 - 14 years</v>
      </c>
      <c r="P27" s="1" t="s">
        <v>28</v>
      </c>
      <c r="Q27" s="1" t="s">
        <v>29</v>
      </c>
      <c r="R27" s="2">
        <v>167717.03307599999</v>
      </c>
      <c r="S27" s="1">
        <v>51</v>
      </c>
    </row>
    <row r="28" spans="1:19" s="3" customFormat="1" x14ac:dyDescent="0.2">
      <c r="A28" s="1">
        <v>27</v>
      </c>
      <c r="B28" s="1" t="s">
        <v>192</v>
      </c>
      <c r="C28" s="1" t="s">
        <v>193</v>
      </c>
      <c r="D28" s="1" t="s">
        <v>194</v>
      </c>
      <c r="E28" s="1" t="s">
        <v>195</v>
      </c>
      <c r="F28" s="1" t="s">
        <v>42</v>
      </c>
      <c r="G28" s="1" t="s">
        <v>78</v>
      </c>
      <c r="H28" s="1" t="s">
        <v>79</v>
      </c>
      <c r="I28" s="1" t="s">
        <v>63</v>
      </c>
      <c r="J28" s="1" t="s">
        <v>196</v>
      </c>
      <c r="K28" s="56">
        <f t="shared" ca="1" si="1"/>
        <v>46</v>
      </c>
      <c r="L28" s="79" t="str">
        <f ca="1">_xlfn.XLOOKUP(K28,'Age Range'!A:A,'Age Range'!B:B)</f>
        <v>40-49</v>
      </c>
      <c r="M28" s="8" t="s">
        <v>197</v>
      </c>
      <c r="N28" s="56">
        <f t="shared" ca="1" si="0"/>
        <v>13</v>
      </c>
      <c r="O28" s="79" t="str">
        <f ca="1">_xlfn.XLOOKUP(N28,'LOS Range'!A:A,'LOS Range'!B:B)</f>
        <v>10 - 14 years</v>
      </c>
      <c r="P28" s="1" t="s">
        <v>28</v>
      </c>
      <c r="Q28" s="1" t="s">
        <v>29</v>
      </c>
      <c r="R28" s="2">
        <v>201846.48801813475</v>
      </c>
      <c r="S28" s="1">
        <v>52</v>
      </c>
    </row>
    <row r="29" spans="1:19" s="3" customFormat="1" x14ac:dyDescent="0.2">
      <c r="A29" s="1">
        <v>28</v>
      </c>
      <c r="B29" s="1" t="s">
        <v>198</v>
      </c>
      <c r="C29" s="1" t="s">
        <v>199</v>
      </c>
      <c r="D29" s="1" t="s">
        <v>200</v>
      </c>
      <c r="E29" s="1" t="s">
        <v>201</v>
      </c>
      <c r="F29" s="1" t="s">
        <v>42</v>
      </c>
      <c r="G29" s="1" t="s">
        <v>78</v>
      </c>
      <c r="H29" s="1" t="s">
        <v>79</v>
      </c>
      <c r="I29" s="1" t="s">
        <v>25</v>
      </c>
      <c r="J29" s="1" t="s">
        <v>202</v>
      </c>
      <c r="K29" s="56">
        <f t="shared" ca="1" si="1"/>
        <v>34</v>
      </c>
      <c r="L29" s="79" t="str">
        <f ca="1">_xlfn.XLOOKUP(K29,'Age Range'!A:A,'Age Range'!B:B)</f>
        <v>30-39</v>
      </c>
      <c r="M29" s="8" t="s">
        <v>203</v>
      </c>
      <c r="N29" s="56">
        <f t="shared" ca="1" si="0"/>
        <v>13</v>
      </c>
      <c r="O29" s="79" t="str">
        <f ca="1">_xlfn.XLOOKUP(N29,'LOS Range'!A:A,'LOS Range'!B:B)</f>
        <v>10 - 14 years</v>
      </c>
      <c r="P29" s="1" t="s">
        <v>28</v>
      </c>
      <c r="Q29" s="1" t="s">
        <v>29</v>
      </c>
      <c r="R29" s="2">
        <v>227838.185</v>
      </c>
      <c r="S29" s="1">
        <v>53</v>
      </c>
    </row>
    <row r="30" spans="1:19" s="3" customFormat="1" x14ac:dyDescent="0.2">
      <c r="A30" s="1">
        <v>29</v>
      </c>
      <c r="B30" s="1" t="s">
        <v>204</v>
      </c>
      <c r="C30" s="1" t="s">
        <v>205</v>
      </c>
      <c r="D30" s="1" t="s">
        <v>206</v>
      </c>
      <c r="E30" s="1" t="s">
        <v>130</v>
      </c>
      <c r="F30" s="1" t="s">
        <v>34</v>
      </c>
      <c r="G30" s="1" t="s">
        <v>35</v>
      </c>
      <c r="H30" s="1" t="s">
        <v>24</v>
      </c>
      <c r="I30" s="1" t="s">
        <v>63</v>
      </c>
      <c r="J30" s="1" t="s">
        <v>207</v>
      </c>
      <c r="K30" s="56">
        <f t="shared" ca="1" si="1"/>
        <v>31</v>
      </c>
      <c r="L30" s="79" t="str">
        <f ca="1">_xlfn.XLOOKUP(K30,'Age Range'!A:A,'Age Range'!B:B)</f>
        <v>30-39</v>
      </c>
      <c r="M30" s="8" t="s">
        <v>203</v>
      </c>
      <c r="N30" s="56">
        <f t="shared" ca="1" si="0"/>
        <v>13</v>
      </c>
      <c r="O30" s="79" t="str">
        <f ca="1">_xlfn.XLOOKUP(N30,'LOS Range'!A:A,'LOS Range'!B:B)</f>
        <v>10 - 14 years</v>
      </c>
      <c r="P30" s="1" t="s">
        <v>56</v>
      </c>
      <c r="Q30" s="1" t="s">
        <v>29</v>
      </c>
      <c r="R30" s="2">
        <v>141339.53736000002</v>
      </c>
      <c r="S30" s="1">
        <v>54</v>
      </c>
    </row>
    <row r="31" spans="1:19" s="3" customFormat="1" x14ac:dyDescent="0.2">
      <c r="A31" s="1">
        <v>30</v>
      </c>
      <c r="B31" s="1" t="s">
        <v>208</v>
      </c>
      <c r="C31" s="1" t="s">
        <v>209</v>
      </c>
      <c r="D31" s="1" t="s">
        <v>210</v>
      </c>
      <c r="E31" s="1" t="s">
        <v>211</v>
      </c>
      <c r="F31" s="1" t="s">
        <v>42</v>
      </c>
      <c r="G31" s="1" t="s">
        <v>78</v>
      </c>
      <c r="H31" s="1" t="s">
        <v>86</v>
      </c>
      <c r="I31" s="1" t="s">
        <v>25</v>
      </c>
      <c r="J31" s="1" t="s">
        <v>212</v>
      </c>
      <c r="K31" s="56">
        <f t="shared" ca="1" si="1"/>
        <v>33</v>
      </c>
      <c r="L31" s="79" t="str">
        <f ca="1">_xlfn.XLOOKUP(K31,'Age Range'!A:A,'Age Range'!B:B)</f>
        <v>30-39</v>
      </c>
      <c r="M31" s="8" t="s">
        <v>213</v>
      </c>
      <c r="N31" s="56">
        <f t="shared" ca="1" si="0"/>
        <v>13</v>
      </c>
      <c r="O31" s="79" t="str">
        <f ca="1">_xlfn.XLOOKUP(N31,'LOS Range'!A:A,'LOS Range'!B:B)</f>
        <v>10 - 14 years</v>
      </c>
      <c r="P31" s="1" t="s">
        <v>28</v>
      </c>
      <c r="Q31" s="1" t="s">
        <v>29</v>
      </c>
      <c r="R31" s="2">
        <v>234795.510744</v>
      </c>
      <c r="S31" s="1">
        <v>55</v>
      </c>
    </row>
    <row r="32" spans="1:19" s="3" customFormat="1" x14ac:dyDescent="0.2">
      <c r="A32" s="1">
        <v>31</v>
      </c>
      <c r="B32" s="1" t="s">
        <v>214</v>
      </c>
      <c r="C32" s="1" t="s">
        <v>215</v>
      </c>
      <c r="D32" s="1" t="s">
        <v>216</v>
      </c>
      <c r="E32" s="1" t="s">
        <v>217</v>
      </c>
      <c r="F32" s="1" t="s">
        <v>42</v>
      </c>
      <c r="G32" s="1" t="s">
        <v>78</v>
      </c>
      <c r="H32" s="1" t="s">
        <v>86</v>
      </c>
      <c r="I32" s="1" t="s">
        <v>63</v>
      </c>
      <c r="J32" s="1" t="s">
        <v>218</v>
      </c>
      <c r="K32" s="56">
        <f t="shared" ca="1" si="1"/>
        <v>38</v>
      </c>
      <c r="L32" s="79" t="str">
        <f ca="1">_xlfn.XLOOKUP(K32,'Age Range'!A:A,'Age Range'!B:B)</f>
        <v>30-39</v>
      </c>
      <c r="M32" s="8" t="s">
        <v>213</v>
      </c>
      <c r="N32" s="56">
        <f t="shared" ca="1" si="0"/>
        <v>13</v>
      </c>
      <c r="O32" s="79" t="str">
        <f ca="1">_xlfn.XLOOKUP(N32,'LOS Range'!A:A,'LOS Range'!B:B)</f>
        <v>10 - 14 years</v>
      </c>
      <c r="P32" s="1" t="s">
        <v>28</v>
      </c>
      <c r="Q32" s="1" t="s">
        <v>29</v>
      </c>
      <c r="R32" s="2">
        <v>188157.41232239999</v>
      </c>
      <c r="S32" s="1">
        <v>40</v>
      </c>
    </row>
    <row r="33" spans="1:19" s="3" customFormat="1" x14ac:dyDescent="0.2">
      <c r="A33" s="1">
        <v>32</v>
      </c>
      <c r="B33" s="1" t="s">
        <v>219</v>
      </c>
      <c r="C33" s="1" t="s">
        <v>220</v>
      </c>
      <c r="D33" s="1" t="s">
        <v>154</v>
      </c>
      <c r="E33" s="1" t="s">
        <v>108</v>
      </c>
      <c r="F33" s="1" t="s">
        <v>42</v>
      </c>
      <c r="G33" s="1" t="s">
        <v>221</v>
      </c>
      <c r="H33" s="1" t="s">
        <v>222</v>
      </c>
      <c r="I33" s="1" t="s">
        <v>25</v>
      </c>
      <c r="J33" s="1" t="s">
        <v>223</v>
      </c>
      <c r="K33" s="56">
        <f t="shared" ca="1" si="1"/>
        <v>31</v>
      </c>
      <c r="L33" s="79" t="str">
        <f ca="1">_xlfn.XLOOKUP(K33,'Age Range'!A:A,'Age Range'!B:B)</f>
        <v>30-39</v>
      </c>
      <c r="M33" s="8" t="s">
        <v>213</v>
      </c>
      <c r="N33" s="56">
        <f t="shared" ca="1" si="0"/>
        <v>13</v>
      </c>
      <c r="O33" s="79" t="str">
        <f ca="1">_xlfn.XLOOKUP(N33,'LOS Range'!A:A,'LOS Range'!B:B)</f>
        <v>10 - 14 years</v>
      </c>
      <c r="P33" s="1" t="s">
        <v>28</v>
      </c>
      <c r="Q33" s="1" t="s">
        <v>29</v>
      </c>
      <c r="R33" s="2">
        <v>219218.48229119999</v>
      </c>
      <c r="S33" s="1">
        <v>41</v>
      </c>
    </row>
    <row r="34" spans="1:19" s="3" customFormat="1" x14ac:dyDescent="0.2">
      <c r="A34" s="1">
        <v>33</v>
      </c>
      <c r="B34" s="1" t="s">
        <v>224</v>
      </c>
      <c r="C34" s="1" t="s">
        <v>225</v>
      </c>
      <c r="D34" s="1" t="s">
        <v>226</v>
      </c>
      <c r="E34" s="1" t="s">
        <v>70</v>
      </c>
      <c r="F34" s="1" t="s">
        <v>42</v>
      </c>
      <c r="G34" s="1" t="s">
        <v>221</v>
      </c>
      <c r="H34" s="1" t="s">
        <v>227</v>
      </c>
      <c r="I34" s="1" t="s">
        <v>63</v>
      </c>
      <c r="J34" s="1" t="s">
        <v>228</v>
      </c>
      <c r="K34" s="56">
        <f t="shared" ca="1" si="1"/>
        <v>47</v>
      </c>
      <c r="L34" s="79" t="str">
        <f ca="1">_xlfn.XLOOKUP(K34,'Age Range'!A:A,'Age Range'!B:B)</f>
        <v>40-49</v>
      </c>
      <c r="M34" s="8" t="s">
        <v>229</v>
      </c>
      <c r="N34" s="56">
        <f t="shared" ca="1" si="0"/>
        <v>13</v>
      </c>
      <c r="O34" s="79" t="str">
        <f ca="1">_xlfn.XLOOKUP(N34,'LOS Range'!A:A,'LOS Range'!B:B)</f>
        <v>10 - 14 years</v>
      </c>
      <c r="P34" s="1" t="s">
        <v>28</v>
      </c>
      <c r="Q34" s="1" t="s">
        <v>29</v>
      </c>
      <c r="R34" s="2">
        <v>191522.40224639999</v>
      </c>
      <c r="S34" s="1">
        <v>42</v>
      </c>
    </row>
    <row r="35" spans="1:19" s="3" customFormat="1" x14ac:dyDescent="0.2">
      <c r="A35" s="1">
        <v>34</v>
      </c>
      <c r="B35" s="1" t="s">
        <v>230</v>
      </c>
      <c r="C35" s="1" t="s">
        <v>231</v>
      </c>
      <c r="D35" s="1" t="s">
        <v>232</v>
      </c>
      <c r="E35" s="1" t="s">
        <v>118</v>
      </c>
      <c r="F35" s="1" t="s">
        <v>42</v>
      </c>
      <c r="G35" s="1" t="s">
        <v>221</v>
      </c>
      <c r="H35" s="1" t="s">
        <v>227</v>
      </c>
      <c r="I35" s="1" t="s">
        <v>25</v>
      </c>
      <c r="J35" s="1" t="s">
        <v>233</v>
      </c>
      <c r="K35" s="56">
        <f t="shared" ca="1" si="1"/>
        <v>46</v>
      </c>
      <c r="L35" s="79" t="str">
        <f ca="1">_xlfn.XLOOKUP(K35,'Age Range'!A:A,'Age Range'!B:B)</f>
        <v>40-49</v>
      </c>
      <c r="M35" s="8" t="s">
        <v>229</v>
      </c>
      <c r="N35" s="56">
        <f t="shared" ca="1" si="0"/>
        <v>13</v>
      </c>
      <c r="O35" s="79" t="str">
        <f ca="1">_xlfn.XLOOKUP(N35,'LOS Range'!A:A,'LOS Range'!B:B)</f>
        <v>10 - 14 years</v>
      </c>
      <c r="P35" s="1" t="s">
        <v>28</v>
      </c>
      <c r="Q35" s="1" t="s">
        <v>29</v>
      </c>
      <c r="R35" s="2">
        <v>203984.2848888</v>
      </c>
      <c r="S35" s="1">
        <v>43</v>
      </c>
    </row>
    <row r="36" spans="1:19" s="3" customFormat="1" x14ac:dyDescent="0.2">
      <c r="A36" s="1">
        <v>35</v>
      </c>
      <c r="B36" s="1" t="s">
        <v>234</v>
      </c>
      <c r="C36" s="1" t="s">
        <v>235</v>
      </c>
      <c r="D36" s="1" t="s">
        <v>236</v>
      </c>
      <c r="E36" s="1" t="s">
        <v>237</v>
      </c>
      <c r="F36" s="1" t="s">
        <v>42</v>
      </c>
      <c r="G36" s="1" t="s">
        <v>43</v>
      </c>
      <c r="H36" s="1" t="s">
        <v>238</v>
      </c>
      <c r="I36" s="1" t="s">
        <v>63</v>
      </c>
      <c r="J36" s="1" t="s">
        <v>239</v>
      </c>
      <c r="K36" s="56">
        <f t="shared" ca="1" si="1"/>
        <v>29</v>
      </c>
      <c r="L36" s="79" t="str">
        <f ca="1">_xlfn.XLOOKUP(K36,'Age Range'!A:A,'Age Range'!B:B)</f>
        <v>20-29</v>
      </c>
      <c r="M36" s="8" t="s">
        <v>240</v>
      </c>
      <c r="N36" s="56">
        <f t="shared" ca="1" si="0"/>
        <v>12</v>
      </c>
      <c r="O36" s="79" t="str">
        <f ca="1">_xlfn.XLOOKUP(N36,'LOS Range'!A:A,'LOS Range'!B:B)</f>
        <v>10 - 14 years</v>
      </c>
      <c r="P36" s="1" t="s">
        <v>47</v>
      </c>
      <c r="Q36" s="1" t="s">
        <v>29</v>
      </c>
      <c r="R36" s="2">
        <v>170374.2</v>
      </c>
      <c r="S36" s="1">
        <v>44</v>
      </c>
    </row>
    <row r="37" spans="1:19" s="3" customFormat="1" x14ac:dyDescent="0.2">
      <c r="A37" s="1">
        <v>36</v>
      </c>
      <c r="B37" s="1" t="s">
        <v>241</v>
      </c>
      <c r="C37" s="1" t="s">
        <v>242</v>
      </c>
      <c r="D37" s="1" t="s">
        <v>189</v>
      </c>
      <c r="E37" s="1" t="s">
        <v>243</v>
      </c>
      <c r="F37" s="1" t="s">
        <v>42</v>
      </c>
      <c r="G37" s="1" t="s">
        <v>43</v>
      </c>
      <c r="H37" s="1" t="s">
        <v>244</v>
      </c>
      <c r="I37" s="1" t="s">
        <v>25</v>
      </c>
      <c r="J37" s="1" t="s">
        <v>245</v>
      </c>
      <c r="K37" s="56">
        <f t="shared" ca="1" si="1"/>
        <v>45</v>
      </c>
      <c r="L37" s="79" t="str">
        <f ca="1">_xlfn.XLOOKUP(K37,'Age Range'!A:A,'Age Range'!B:B)</f>
        <v>40-49</v>
      </c>
      <c r="M37" s="8" t="s">
        <v>240</v>
      </c>
      <c r="N37" s="56">
        <f t="shared" ca="1" si="0"/>
        <v>12</v>
      </c>
      <c r="O37" s="79" t="str">
        <f ca="1">_xlfn.XLOOKUP(N37,'LOS Range'!A:A,'LOS Range'!B:B)</f>
        <v>10 - 14 years</v>
      </c>
      <c r="P37" s="1" t="s">
        <v>246</v>
      </c>
      <c r="Q37" s="1" t="s">
        <v>29</v>
      </c>
      <c r="R37" s="2">
        <v>182993.0336688</v>
      </c>
      <c r="S37" s="1">
        <v>45</v>
      </c>
    </row>
    <row r="38" spans="1:19" s="3" customFormat="1" x14ac:dyDescent="0.2">
      <c r="A38" s="1">
        <v>37</v>
      </c>
      <c r="B38" s="1" t="s">
        <v>247</v>
      </c>
      <c r="C38" s="1" t="s">
        <v>248</v>
      </c>
      <c r="D38" s="1" t="s">
        <v>189</v>
      </c>
      <c r="E38" s="1" t="s">
        <v>154</v>
      </c>
      <c r="F38" s="1" t="s">
        <v>42</v>
      </c>
      <c r="G38" s="1" t="s">
        <v>43</v>
      </c>
      <c r="H38" s="1" t="s">
        <v>249</v>
      </c>
      <c r="I38" s="1" t="s">
        <v>63</v>
      </c>
      <c r="J38" s="1" t="s">
        <v>250</v>
      </c>
      <c r="K38" s="56">
        <f t="shared" ca="1" si="1"/>
        <v>35</v>
      </c>
      <c r="L38" s="79" t="str">
        <f ca="1">_xlfn.XLOOKUP(K38,'Age Range'!A:A,'Age Range'!B:B)</f>
        <v>30-39</v>
      </c>
      <c r="M38" s="8" t="s">
        <v>251</v>
      </c>
      <c r="N38" s="56">
        <f t="shared" ca="1" si="0"/>
        <v>12</v>
      </c>
      <c r="O38" s="79" t="str">
        <f ca="1">_xlfn.XLOOKUP(N38,'LOS Range'!A:A,'LOS Range'!B:B)</f>
        <v>10 - 14 years</v>
      </c>
      <c r="P38" s="1" t="s">
        <v>28</v>
      </c>
      <c r="Q38" s="1" t="s">
        <v>29</v>
      </c>
      <c r="R38" s="2">
        <v>283210.59263999999</v>
      </c>
      <c r="S38" s="1">
        <v>30</v>
      </c>
    </row>
    <row r="39" spans="1:19" s="3" customFormat="1" x14ac:dyDescent="0.2">
      <c r="A39" s="1">
        <v>38</v>
      </c>
      <c r="B39" s="1" t="s">
        <v>252</v>
      </c>
      <c r="C39" s="1" t="s">
        <v>253</v>
      </c>
      <c r="D39" s="1" t="s">
        <v>254</v>
      </c>
      <c r="E39" s="1" t="s">
        <v>255</v>
      </c>
      <c r="F39" s="1" t="s">
        <v>42</v>
      </c>
      <c r="G39" s="1" t="s">
        <v>43</v>
      </c>
      <c r="H39" s="1" t="s">
        <v>238</v>
      </c>
      <c r="I39" s="1" t="s">
        <v>25</v>
      </c>
      <c r="J39" s="1" t="s">
        <v>256</v>
      </c>
      <c r="K39" s="56">
        <f t="shared" ca="1" si="1"/>
        <v>36</v>
      </c>
      <c r="L39" s="79" t="str">
        <f ca="1">_xlfn.XLOOKUP(K39,'Age Range'!A:A,'Age Range'!B:B)</f>
        <v>30-39</v>
      </c>
      <c r="M39" s="8" t="s">
        <v>37</v>
      </c>
      <c r="N39" s="56">
        <f t="shared" ca="1" si="0"/>
        <v>12</v>
      </c>
      <c r="O39" s="79" t="str">
        <f ca="1">_xlfn.XLOOKUP(N39,'LOS Range'!A:A,'LOS Range'!B:B)</f>
        <v>10 - 14 years</v>
      </c>
      <c r="P39" s="1" t="s">
        <v>28</v>
      </c>
      <c r="Q39" s="1" t="s">
        <v>29</v>
      </c>
      <c r="R39" s="2">
        <v>158754.0091776</v>
      </c>
      <c r="S39" s="1">
        <v>31</v>
      </c>
    </row>
    <row r="40" spans="1:19" s="3" customFormat="1" x14ac:dyDescent="0.2">
      <c r="A40" s="1">
        <v>39</v>
      </c>
      <c r="B40" s="1" t="s">
        <v>257</v>
      </c>
      <c r="C40" s="1" t="s">
        <v>258</v>
      </c>
      <c r="D40" s="1" t="s">
        <v>259</v>
      </c>
      <c r="E40" s="1" t="s">
        <v>260</v>
      </c>
      <c r="F40" s="1" t="s">
        <v>42</v>
      </c>
      <c r="G40" s="1" t="s">
        <v>43</v>
      </c>
      <c r="H40" s="1" t="s">
        <v>238</v>
      </c>
      <c r="I40" s="1" t="s">
        <v>63</v>
      </c>
      <c r="J40" s="1" t="s">
        <v>261</v>
      </c>
      <c r="K40" s="56">
        <f t="shared" ca="1" si="1"/>
        <v>31</v>
      </c>
      <c r="L40" s="79" t="str">
        <f ca="1">_xlfn.XLOOKUP(K40,'Age Range'!A:A,'Age Range'!B:B)</f>
        <v>30-39</v>
      </c>
      <c r="M40" s="8" t="s">
        <v>262</v>
      </c>
      <c r="N40" s="56">
        <f t="shared" ca="1" si="0"/>
        <v>15</v>
      </c>
      <c r="O40" s="79" t="str">
        <f ca="1">_xlfn.XLOOKUP(N40,'LOS Range'!A:A,'LOS Range'!B:B)</f>
        <v>15 - 19 years</v>
      </c>
      <c r="P40" s="1" t="s">
        <v>28</v>
      </c>
      <c r="Q40" s="1" t="s">
        <v>29</v>
      </c>
      <c r="R40" s="2">
        <v>169999.24063680001</v>
      </c>
      <c r="S40" s="1">
        <v>32</v>
      </c>
    </row>
    <row r="41" spans="1:19" s="3" customFormat="1" x14ac:dyDescent="0.2">
      <c r="A41" s="1">
        <v>40</v>
      </c>
      <c r="B41" s="1" t="s">
        <v>38</v>
      </c>
      <c r="C41" s="1" t="s">
        <v>39</v>
      </c>
      <c r="D41" s="1" t="s">
        <v>40</v>
      </c>
      <c r="E41" s="1" t="s">
        <v>41</v>
      </c>
      <c r="F41" s="1" t="s">
        <v>42</v>
      </c>
      <c r="G41" s="1" t="s">
        <v>43</v>
      </c>
      <c r="H41" s="1" t="s">
        <v>44</v>
      </c>
      <c r="I41" s="1" t="s">
        <v>25</v>
      </c>
      <c r="J41" s="1" t="s">
        <v>45</v>
      </c>
      <c r="K41" s="56">
        <f t="shared" ca="1" si="1"/>
        <v>34</v>
      </c>
      <c r="L41" s="79" t="str">
        <f ca="1">_xlfn.XLOOKUP(K41,'Age Range'!A:A,'Age Range'!B:B)</f>
        <v>30-39</v>
      </c>
      <c r="M41" s="8" t="s">
        <v>46</v>
      </c>
      <c r="N41" s="56">
        <f t="shared" ca="1" si="0"/>
        <v>17</v>
      </c>
      <c r="O41" s="79" t="str">
        <f ca="1">_xlfn.XLOOKUP(N41,'LOS Range'!A:A,'LOS Range'!B:B)</f>
        <v>15 - 19 years</v>
      </c>
      <c r="P41" s="1" t="s">
        <v>47</v>
      </c>
      <c r="Q41" s="1" t="s">
        <v>29</v>
      </c>
      <c r="R41" s="2">
        <v>172725.27971520001</v>
      </c>
      <c r="S41" s="1">
        <v>33</v>
      </c>
    </row>
    <row r="42" spans="1:19" s="3" customFormat="1" x14ac:dyDescent="0.2">
      <c r="A42" s="1">
        <v>41</v>
      </c>
      <c r="B42" s="1" t="s">
        <v>263</v>
      </c>
      <c r="C42" s="1" t="s">
        <v>264</v>
      </c>
      <c r="D42" s="1" t="s">
        <v>265</v>
      </c>
      <c r="E42" s="1" t="s">
        <v>266</v>
      </c>
      <c r="F42" s="1" t="s">
        <v>61</v>
      </c>
      <c r="G42" s="1" t="s">
        <v>52</v>
      </c>
      <c r="H42" s="1" t="s">
        <v>267</v>
      </c>
      <c r="I42" s="1" t="s">
        <v>63</v>
      </c>
      <c r="J42" s="1" t="s">
        <v>173</v>
      </c>
      <c r="K42" s="56">
        <f t="shared" ca="1" si="1"/>
        <v>34</v>
      </c>
      <c r="L42" s="79" t="str">
        <f ca="1">_xlfn.XLOOKUP(K42,'Age Range'!A:A,'Age Range'!B:B)</f>
        <v>30-39</v>
      </c>
      <c r="M42" s="8" t="s">
        <v>268</v>
      </c>
      <c r="N42" s="56">
        <f t="shared" ca="1" si="0"/>
        <v>21</v>
      </c>
      <c r="O42" s="79" t="str">
        <f ca="1">_xlfn.XLOOKUP(N42,'LOS Range'!A:A,'LOS Range'!B:B)</f>
        <v>Above 20 years</v>
      </c>
      <c r="P42" s="1" t="s">
        <v>28</v>
      </c>
      <c r="Q42" s="1" t="s">
        <v>29</v>
      </c>
      <c r="R42" s="10">
        <v>169897.2408</v>
      </c>
      <c r="S42" s="1">
        <v>34</v>
      </c>
    </row>
    <row r="43" spans="1:19" s="3" customFormat="1" x14ac:dyDescent="0.2">
      <c r="A43" s="1">
        <v>42</v>
      </c>
      <c r="B43" s="1" t="s">
        <v>269</v>
      </c>
      <c r="C43" s="1" t="s">
        <v>270</v>
      </c>
      <c r="D43" s="1" t="s">
        <v>271</v>
      </c>
      <c r="E43" s="1" t="s">
        <v>272</v>
      </c>
      <c r="F43" s="1" t="s">
        <v>61</v>
      </c>
      <c r="G43" s="1" t="s">
        <v>52</v>
      </c>
      <c r="H43" s="1" t="s">
        <v>273</v>
      </c>
      <c r="I43" s="1" t="s">
        <v>25</v>
      </c>
      <c r="J43" s="1" t="s">
        <v>274</v>
      </c>
      <c r="K43" s="56">
        <f t="shared" ca="1" si="1"/>
        <v>43</v>
      </c>
      <c r="L43" s="79" t="str">
        <f ca="1">_xlfn.XLOOKUP(K43,'Age Range'!A:A,'Age Range'!B:B)</f>
        <v>40-49</v>
      </c>
      <c r="M43" s="8" t="s">
        <v>65</v>
      </c>
      <c r="N43" s="56">
        <f t="shared" ca="1" si="0"/>
        <v>24</v>
      </c>
      <c r="O43" s="79" t="str">
        <f ca="1">_xlfn.XLOOKUP(N43,'LOS Range'!A:A,'LOS Range'!B:B)</f>
        <v>Above 20 years</v>
      </c>
      <c r="P43" s="1" t="s">
        <v>56</v>
      </c>
      <c r="Q43" s="1" t="s">
        <v>29</v>
      </c>
      <c r="R43" s="2">
        <v>182886.51</v>
      </c>
      <c r="S43" s="1">
        <v>35</v>
      </c>
    </row>
    <row r="44" spans="1:19" s="3" customFormat="1" x14ac:dyDescent="0.2">
      <c r="A44" s="1">
        <v>43</v>
      </c>
      <c r="B44" s="1" t="s">
        <v>275</v>
      </c>
      <c r="C44" s="1" t="s">
        <v>276</v>
      </c>
      <c r="D44" s="1" t="s">
        <v>277</v>
      </c>
      <c r="E44" s="1" t="s">
        <v>278</v>
      </c>
      <c r="F44" s="1" t="s">
        <v>34</v>
      </c>
      <c r="G44" s="1" t="s">
        <v>35</v>
      </c>
      <c r="H44" s="1" t="s">
        <v>24</v>
      </c>
      <c r="I44" s="1" t="s">
        <v>63</v>
      </c>
      <c r="J44" s="1" t="s">
        <v>279</v>
      </c>
      <c r="K44" s="56">
        <f t="shared" ca="1" si="1"/>
        <v>35</v>
      </c>
      <c r="L44" s="79" t="str">
        <f ca="1">_xlfn.XLOOKUP(K44,'Age Range'!A:A,'Age Range'!B:B)</f>
        <v>30-39</v>
      </c>
      <c r="M44" s="8" t="s">
        <v>280</v>
      </c>
      <c r="N44" s="56">
        <f t="shared" ca="1" si="0"/>
        <v>17</v>
      </c>
      <c r="O44" s="79" t="str">
        <f ca="1">_xlfn.XLOOKUP(N44,'LOS Range'!A:A,'LOS Range'!B:B)</f>
        <v>15 - 19 years</v>
      </c>
      <c r="P44" s="1" t="s">
        <v>66</v>
      </c>
      <c r="Q44" s="1" t="s">
        <v>29</v>
      </c>
      <c r="R44" s="2">
        <v>199482.23999999999</v>
      </c>
      <c r="S44" s="1">
        <v>90</v>
      </c>
    </row>
    <row r="45" spans="1:19" s="3" customFormat="1" x14ac:dyDescent="0.2">
      <c r="A45" s="1">
        <v>44</v>
      </c>
      <c r="B45" s="1" t="s">
        <v>281</v>
      </c>
      <c r="C45" s="1" t="s">
        <v>282</v>
      </c>
      <c r="D45" s="1" t="s">
        <v>283</v>
      </c>
      <c r="E45" s="1" t="s">
        <v>284</v>
      </c>
      <c r="F45" s="1" t="s">
        <v>61</v>
      </c>
      <c r="G45" s="1" t="s">
        <v>221</v>
      </c>
      <c r="H45" s="1" t="s">
        <v>227</v>
      </c>
      <c r="I45" s="1" t="s">
        <v>25</v>
      </c>
      <c r="J45" s="1" t="s">
        <v>285</v>
      </c>
      <c r="K45" s="56">
        <f t="shared" ca="1" si="1"/>
        <v>37</v>
      </c>
      <c r="L45" s="79" t="str">
        <f ca="1">_xlfn.XLOOKUP(K45,'Age Range'!A:A,'Age Range'!B:B)</f>
        <v>30-39</v>
      </c>
      <c r="M45" s="8" t="s">
        <v>286</v>
      </c>
      <c r="N45" s="56">
        <f t="shared" ca="1" si="0"/>
        <v>15</v>
      </c>
      <c r="O45" s="79" t="str">
        <f ca="1">_xlfn.XLOOKUP(N45,'LOS Range'!A:A,'LOS Range'!B:B)</f>
        <v>15 - 19 years</v>
      </c>
      <c r="P45" s="1" t="s">
        <v>28</v>
      </c>
      <c r="Q45" s="1" t="s">
        <v>29</v>
      </c>
      <c r="R45" s="2">
        <v>162996.75</v>
      </c>
      <c r="S45" s="1">
        <v>91</v>
      </c>
    </row>
    <row r="46" spans="1:19" s="3" customFormat="1" x14ac:dyDescent="0.2">
      <c r="A46" s="1">
        <v>45</v>
      </c>
      <c r="B46" s="1" t="s">
        <v>287</v>
      </c>
      <c r="C46" s="1" t="s">
        <v>288</v>
      </c>
      <c r="D46" s="1" t="s">
        <v>289</v>
      </c>
      <c r="E46" s="1" t="s">
        <v>290</v>
      </c>
      <c r="F46" s="1" t="s">
        <v>61</v>
      </c>
      <c r="G46" s="1" t="s">
        <v>43</v>
      </c>
      <c r="H46" s="1" t="s">
        <v>291</v>
      </c>
      <c r="I46" s="1" t="s">
        <v>63</v>
      </c>
      <c r="J46" s="1" t="s">
        <v>292</v>
      </c>
      <c r="K46" s="56">
        <f t="shared" ca="1" si="1"/>
        <v>35</v>
      </c>
      <c r="L46" s="79" t="str">
        <f ca="1">_xlfn.XLOOKUP(K46,'Age Range'!A:A,'Age Range'!B:B)</f>
        <v>30-39</v>
      </c>
      <c r="M46" s="8" t="s">
        <v>293</v>
      </c>
      <c r="N46" s="56">
        <f t="shared" ca="1" si="0"/>
        <v>20</v>
      </c>
      <c r="O46" s="79" t="str">
        <f ca="1">_xlfn.XLOOKUP(N46,'LOS Range'!A:A,'LOS Range'!B:B)</f>
        <v>Above 20 years</v>
      </c>
      <c r="P46" s="1" t="s">
        <v>28</v>
      </c>
      <c r="Q46" s="1" t="s">
        <v>29</v>
      </c>
      <c r="R46" s="9">
        <v>405456.5808</v>
      </c>
      <c r="S46" s="1">
        <v>92</v>
      </c>
    </row>
    <row r="47" spans="1:19" s="3" customFormat="1" x14ac:dyDescent="0.2">
      <c r="A47" s="1">
        <v>46</v>
      </c>
      <c r="B47" s="1" t="s">
        <v>294</v>
      </c>
      <c r="C47" s="1" t="s">
        <v>295</v>
      </c>
      <c r="D47" s="1" t="s">
        <v>296</v>
      </c>
      <c r="E47" s="1" t="s">
        <v>297</v>
      </c>
      <c r="F47" s="1" t="s">
        <v>61</v>
      </c>
      <c r="G47" s="1" t="s">
        <v>43</v>
      </c>
      <c r="H47" s="1" t="s">
        <v>291</v>
      </c>
      <c r="I47" s="1" t="s">
        <v>25</v>
      </c>
      <c r="J47" s="1" t="s">
        <v>298</v>
      </c>
      <c r="K47" s="56">
        <f t="shared" ca="1" si="1"/>
        <v>45</v>
      </c>
      <c r="L47" s="79" t="str">
        <f ca="1">_xlfn.XLOOKUP(K47,'Age Range'!A:A,'Age Range'!B:B)</f>
        <v>40-49</v>
      </c>
      <c r="M47" s="8" t="s">
        <v>65</v>
      </c>
      <c r="N47" s="56">
        <f t="shared" ca="1" si="0"/>
        <v>24</v>
      </c>
      <c r="O47" s="79" t="str">
        <f ca="1">_xlfn.XLOOKUP(N47,'LOS Range'!A:A,'LOS Range'!B:B)</f>
        <v>Above 20 years</v>
      </c>
      <c r="P47" s="1" t="s">
        <v>28</v>
      </c>
      <c r="Q47" s="1" t="s">
        <v>29</v>
      </c>
      <c r="R47" s="10">
        <v>426139.63919999998</v>
      </c>
      <c r="S47" s="1">
        <v>93</v>
      </c>
    </row>
    <row r="48" spans="1:19" s="3" customFormat="1" x14ac:dyDescent="0.2">
      <c r="A48" s="1">
        <v>47</v>
      </c>
      <c r="B48" s="1" t="s">
        <v>299</v>
      </c>
      <c r="C48" s="1" t="s">
        <v>300</v>
      </c>
      <c r="D48" s="1" t="s">
        <v>301</v>
      </c>
      <c r="E48" s="1" t="s">
        <v>302</v>
      </c>
      <c r="F48" s="1" t="s">
        <v>61</v>
      </c>
      <c r="G48" s="1" t="s">
        <v>43</v>
      </c>
      <c r="H48" s="1" t="s">
        <v>303</v>
      </c>
      <c r="I48" s="1" t="s">
        <v>63</v>
      </c>
      <c r="J48" s="1" t="s">
        <v>304</v>
      </c>
      <c r="K48" s="56">
        <f t="shared" ca="1" si="1"/>
        <v>41</v>
      </c>
      <c r="L48" s="79" t="str">
        <f ca="1">_xlfn.XLOOKUP(K48,'Age Range'!A:A,'Age Range'!B:B)</f>
        <v>40-49</v>
      </c>
      <c r="M48" s="8" t="s">
        <v>305</v>
      </c>
      <c r="N48" s="56">
        <f t="shared" ca="1" si="0"/>
        <v>16</v>
      </c>
      <c r="O48" s="79" t="str">
        <f ca="1">_xlfn.XLOOKUP(N48,'LOS Range'!A:A,'LOS Range'!B:B)</f>
        <v>15 - 19 years</v>
      </c>
      <c r="P48" s="1" t="s">
        <v>28</v>
      </c>
      <c r="Q48" s="1" t="s">
        <v>29</v>
      </c>
      <c r="R48" s="2">
        <v>163865.25</v>
      </c>
      <c r="S48" s="1">
        <v>94</v>
      </c>
    </row>
    <row r="49" spans="1:19" s="3" customFormat="1" x14ac:dyDescent="0.2">
      <c r="A49" s="1">
        <v>48</v>
      </c>
      <c r="B49" s="1" t="s">
        <v>306</v>
      </c>
      <c r="C49" s="1" t="s">
        <v>307</v>
      </c>
      <c r="D49" s="1" t="s">
        <v>308</v>
      </c>
      <c r="E49" s="1" t="s">
        <v>309</v>
      </c>
      <c r="F49" s="1" t="s">
        <v>61</v>
      </c>
      <c r="G49" s="1" t="s">
        <v>43</v>
      </c>
      <c r="H49" s="1" t="s">
        <v>244</v>
      </c>
      <c r="I49" s="1" t="s">
        <v>25</v>
      </c>
      <c r="J49" s="1" t="s">
        <v>310</v>
      </c>
      <c r="K49" s="56">
        <f t="shared" ca="1" si="1"/>
        <v>37</v>
      </c>
      <c r="L49" s="79" t="str">
        <f ca="1">_xlfn.XLOOKUP(K49,'Age Range'!A:A,'Age Range'!B:B)</f>
        <v>30-39</v>
      </c>
      <c r="M49" s="8" t="s">
        <v>311</v>
      </c>
      <c r="N49" s="56">
        <f t="shared" ca="1" si="0"/>
        <v>22</v>
      </c>
      <c r="O49" s="79" t="str">
        <f ca="1">_xlfn.XLOOKUP(N49,'LOS Range'!A:A,'LOS Range'!B:B)</f>
        <v>Above 20 years</v>
      </c>
      <c r="P49" s="1" t="s">
        <v>28</v>
      </c>
      <c r="Q49" s="1" t="s">
        <v>29</v>
      </c>
      <c r="R49" s="4">
        <v>351295.74</v>
      </c>
      <c r="S49" s="1">
        <v>95</v>
      </c>
    </row>
    <row r="50" spans="1:19" s="3" customFormat="1" x14ac:dyDescent="0.2">
      <c r="A50" s="1">
        <v>49</v>
      </c>
      <c r="B50" s="1" t="s">
        <v>312</v>
      </c>
      <c r="C50" s="1" t="s">
        <v>313</v>
      </c>
      <c r="D50" s="1" t="s">
        <v>314</v>
      </c>
      <c r="E50" s="1" t="s">
        <v>211</v>
      </c>
      <c r="F50" s="1" t="s">
        <v>61</v>
      </c>
      <c r="G50" s="1" t="s">
        <v>52</v>
      </c>
      <c r="H50" s="1" t="s">
        <v>315</v>
      </c>
      <c r="I50" s="1" t="s">
        <v>63</v>
      </c>
      <c r="J50" s="1" t="s">
        <v>316</v>
      </c>
      <c r="K50" s="56">
        <f t="shared" ca="1" si="1"/>
        <v>46</v>
      </c>
      <c r="L50" s="79" t="str">
        <f ca="1">_xlfn.XLOOKUP(K50,'Age Range'!A:A,'Age Range'!B:B)</f>
        <v>40-49</v>
      </c>
      <c r="M50" s="8" t="s">
        <v>317</v>
      </c>
      <c r="N50" s="56">
        <f t="shared" ca="1" si="0"/>
        <v>14</v>
      </c>
      <c r="O50" s="79" t="str">
        <f ca="1">_xlfn.XLOOKUP(N50,'LOS Range'!A:A,'LOS Range'!B:B)</f>
        <v>10 - 14 years</v>
      </c>
      <c r="P50" s="1" t="s">
        <v>121</v>
      </c>
      <c r="Q50" s="1" t="s">
        <v>29</v>
      </c>
      <c r="R50" s="10">
        <v>363789.88919999998</v>
      </c>
      <c r="S50" s="1">
        <v>80</v>
      </c>
    </row>
    <row r="51" spans="1:19" s="3" customFormat="1" x14ac:dyDescent="0.2">
      <c r="A51" s="1">
        <v>50</v>
      </c>
      <c r="B51" s="1" t="s">
        <v>318</v>
      </c>
      <c r="C51" s="1" t="s">
        <v>319</v>
      </c>
      <c r="D51" s="1" t="s">
        <v>320</v>
      </c>
      <c r="E51" s="1" t="s">
        <v>321</v>
      </c>
      <c r="F51" s="1" t="s">
        <v>61</v>
      </c>
      <c r="G51" s="1" t="s">
        <v>322</v>
      </c>
      <c r="H51" s="1" t="s">
        <v>323</v>
      </c>
      <c r="I51" s="1" t="s">
        <v>25</v>
      </c>
      <c r="J51" s="1" t="s">
        <v>324</v>
      </c>
      <c r="K51" s="56">
        <f t="shared" ca="1" si="1"/>
        <v>32</v>
      </c>
      <c r="L51" s="79" t="str">
        <f ca="1">_xlfn.XLOOKUP(K51,'Age Range'!A:A,'Age Range'!B:B)</f>
        <v>30-39</v>
      </c>
      <c r="M51" s="8" t="s">
        <v>325</v>
      </c>
      <c r="N51" s="56">
        <f t="shared" ca="1" si="0"/>
        <v>17</v>
      </c>
      <c r="O51" s="79" t="str">
        <f ca="1">_xlfn.XLOOKUP(N51,'LOS Range'!A:A,'LOS Range'!B:B)</f>
        <v>15 - 19 years</v>
      </c>
      <c r="P51" s="1" t="s">
        <v>47</v>
      </c>
      <c r="Q51" s="1" t="s">
        <v>29</v>
      </c>
      <c r="R51" s="2">
        <v>324770.76</v>
      </c>
      <c r="S51" s="1">
        <v>81</v>
      </c>
    </row>
    <row r="52" spans="1:19" s="3" customFormat="1" x14ac:dyDescent="0.2">
      <c r="A52" s="1">
        <v>51</v>
      </c>
      <c r="B52" s="1" t="s">
        <v>326</v>
      </c>
      <c r="C52" s="1" t="s">
        <v>327</v>
      </c>
      <c r="D52" s="1" t="s">
        <v>328</v>
      </c>
      <c r="E52" s="1" t="s">
        <v>92</v>
      </c>
      <c r="F52" s="1" t="s">
        <v>61</v>
      </c>
      <c r="G52" s="1" t="s">
        <v>322</v>
      </c>
      <c r="H52" s="1" t="s">
        <v>329</v>
      </c>
      <c r="I52" s="1" t="s">
        <v>63</v>
      </c>
      <c r="J52" s="1" t="s">
        <v>330</v>
      </c>
      <c r="K52" s="56">
        <f t="shared" ca="1" si="1"/>
        <v>40</v>
      </c>
      <c r="L52" s="79" t="str">
        <f ca="1">_xlfn.XLOOKUP(K52,'Age Range'!A:A,'Age Range'!B:B)</f>
        <v>40-49</v>
      </c>
      <c r="M52" s="8" t="s">
        <v>331</v>
      </c>
      <c r="N52" s="56">
        <f t="shared" ca="1" si="0"/>
        <v>19</v>
      </c>
      <c r="O52" s="79" t="str">
        <f ca="1">_xlfn.XLOOKUP(N52,'LOS Range'!A:A,'LOS Range'!B:B)</f>
        <v>15 - 19 years</v>
      </c>
      <c r="P52" s="1" t="s">
        <v>28</v>
      </c>
      <c r="Q52" s="1" t="s">
        <v>29</v>
      </c>
      <c r="R52" s="2">
        <v>144876.75</v>
      </c>
      <c r="S52" s="1">
        <v>82</v>
      </c>
    </row>
    <row r="53" spans="1:19" s="3" customFormat="1" x14ac:dyDescent="0.2">
      <c r="A53" s="1">
        <v>52</v>
      </c>
      <c r="B53" s="1" t="s">
        <v>332</v>
      </c>
      <c r="C53" s="1" t="s">
        <v>333</v>
      </c>
      <c r="D53" s="1" t="s">
        <v>334</v>
      </c>
      <c r="E53" s="1" t="s">
        <v>335</v>
      </c>
      <c r="F53" s="1" t="s">
        <v>61</v>
      </c>
      <c r="G53" s="1" t="s">
        <v>336</v>
      </c>
      <c r="H53" s="1" t="s">
        <v>337</v>
      </c>
      <c r="I53" s="1" t="s">
        <v>25</v>
      </c>
      <c r="J53" s="1" t="s">
        <v>338</v>
      </c>
      <c r="K53" s="56">
        <f t="shared" ca="1" si="1"/>
        <v>34</v>
      </c>
      <c r="L53" s="79" t="str">
        <f ca="1">_xlfn.XLOOKUP(K53,'Age Range'!A:A,'Age Range'!B:B)</f>
        <v>30-39</v>
      </c>
      <c r="M53" s="8" t="s">
        <v>339</v>
      </c>
      <c r="N53" s="56">
        <f t="shared" ca="1" si="0"/>
        <v>24</v>
      </c>
      <c r="O53" s="79" t="str">
        <f ca="1">_xlfn.XLOOKUP(N53,'LOS Range'!A:A,'LOS Range'!B:B)</f>
        <v>Above 20 years</v>
      </c>
      <c r="P53" s="1" t="s">
        <v>56</v>
      </c>
      <c r="Q53" s="1" t="s">
        <v>29</v>
      </c>
      <c r="R53" s="2">
        <v>193194</v>
      </c>
      <c r="S53" s="1">
        <v>83</v>
      </c>
    </row>
    <row r="54" spans="1:19" s="3" customFormat="1" x14ac:dyDescent="0.2">
      <c r="A54" s="1">
        <v>53</v>
      </c>
      <c r="B54" s="1" t="s">
        <v>340</v>
      </c>
      <c r="C54" s="1" t="s">
        <v>341</v>
      </c>
      <c r="D54" s="1" t="s">
        <v>342</v>
      </c>
      <c r="E54" s="1" t="s">
        <v>343</v>
      </c>
      <c r="F54" s="1" t="s">
        <v>61</v>
      </c>
      <c r="G54" s="1" t="s">
        <v>221</v>
      </c>
      <c r="H54" s="1" t="s">
        <v>344</v>
      </c>
      <c r="I54" s="1" t="s">
        <v>63</v>
      </c>
      <c r="J54" s="1" t="s">
        <v>345</v>
      </c>
      <c r="K54" s="56">
        <f t="shared" ca="1" si="1"/>
        <v>41</v>
      </c>
      <c r="L54" s="79" t="str">
        <f ca="1">_xlfn.XLOOKUP(K54,'Age Range'!A:A,'Age Range'!B:B)</f>
        <v>40-49</v>
      </c>
      <c r="M54" s="8" t="s">
        <v>81</v>
      </c>
      <c r="N54" s="56">
        <f t="shared" ca="1" si="0"/>
        <v>16</v>
      </c>
      <c r="O54" s="79" t="str">
        <f ca="1">_xlfn.XLOOKUP(N54,'LOS Range'!A:A,'LOS Range'!B:B)</f>
        <v>15 - 19 years</v>
      </c>
      <c r="P54" s="1" t="s">
        <v>99</v>
      </c>
      <c r="Q54" s="1" t="s">
        <v>29</v>
      </c>
      <c r="R54" s="2">
        <v>203032.74</v>
      </c>
      <c r="S54" s="1">
        <v>84</v>
      </c>
    </row>
    <row r="55" spans="1:19" s="3" customFormat="1" x14ac:dyDescent="0.2">
      <c r="A55" s="1">
        <v>54</v>
      </c>
      <c r="B55" s="1" t="s">
        <v>346</v>
      </c>
      <c r="C55" s="1" t="s">
        <v>347</v>
      </c>
      <c r="D55" s="1" t="s">
        <v>348</v>
      </c>
      <c r="E55" s="1" t="s">
        <v>349</v>
      </c>
      <c r="F55" s="1" t="s">
        <v>34</v>
      </c>
      <c r="G55" s="1" t="s">
        <v>350</v>
      </c>
      <c r="H55" s="1" t="s">
        <v>351</v>
      </c>
      <c r="I55" s="1" t="s">
        <v>25</v>
      </c>
      <c r="J55" s="1" t="s">
        <v>352</v>
      </c>
      <c r="K55" s="56">
        <f t="shared" ca="1" si="1"/>
        <v>26</v>
      </c>
      <c r="L55" s="79" t="str">
        <f ca="1">_xlfn.XLOOKUP(K55,'Age Range'!A:A,'Age Range'!B:B)</f>
        <v>20-29</v>
      </c>
      <c r="M55" s="8" t="s">
        <v>353</v>
      </c>
      <c r="N55" s="56">
        <f t="shared" ca="1" si="0"/>
        <v>27</v>
      </c>
      <c r="O55" s="79" t="str">
        <f ca="1">_xlfn.XLOOKUP(N55,'LOS Range'!A:A,'LOS Range'!B:B)</f>
        <v>Above 20 years</v>
      </c>
      <c r="P55" s="1" t="s">
        <v>28</v>
      </c>
      <c r="Q55" s="1" t="s">
        <v>29</v>
      </c>
      <c r="R55" s="2">
        <v>198750.71249999999</v>
      </c>
      <c r="S55" s="1">
        <v>85</v>
      </c>
    </row>
    <row r="56" spans="1:19" s="3" customFormat="1" x14ac:dyDescent="0.2">
      <c r="A56" s="1">
        <v>55</v>
      </c>
      <c r="B56" s="1" t="s">
        <v>354</v>
      </c>
      <c r="C56" s="1" t="s">
        <v>355</v>
      </c>
      <c r="D56" s="1" t="s">
        <v>356</v>
      </c>
      <c r="E56" s="1" t="s">
        <v>357</v>
      </c>
      <c r="F56" s="1" t="s">
        <v>42</v>
      </c>
      <c r="G56" s="1" t="s">
        <v>78</v>
      </c>
      <c r="H56" s="1" t="s">
        <v>79</v>
      </c>
      <c r="I56" s="1" t="s">
        <v>63</v>
      </c>
      <c r="J56" s="80" t="s">
        <v>358</v>
      </c>
      <c r="K56" s="56">
        <f t="shared" ca="1" si="1"/>
        <v>45</v>
      </c>
      <c r="L56" s="79" t="str">
        <f ca="1">_xlfn.XLOOKUP(K56,'Age Range'!A:A,'Age Range'!B:B)</f>
        <v>40-49</v>
      </c>
      <c r="M56" s="8" t="s">
        <v>359</v>
      </c>
      <c r="N56" s="56">
        <f t="shared" ca="1" si="0"/>
        <v>14</v>
      </c>
      <c r="O56" s="79" t="str">
        <f ca="1">_xlfn.XLOOKUP(N56,'LOS Range'!A:A,'LOS Range'!B:B)</f>
        <v>10 - 14 years</v>
      </c>
      <c r="P56" s="1" t="s">
        <v>99</v>
      </c>
      <c r="Q56" s="1" t="s">
        <v>29</v>
      </c>
      <c r="R56" s="2">
        <v>148121.24356800001</v>
      </c>
      <c r="S56" s="1">
        <v>70</v>
      </c>
    </row>
    <row r="57" spans="1:19" s="3" customFormat="1" x14ac:dyDescent="0.2">
      <c r="A57" s="1">
        <v>56</v>
      </c>
      <c r="B57" s="1" t="s">
        <v>360</v>
      </c>
      <c r="C57" s="1" t="s">
        <v>361</v>
      </c>
      <c r="D57" s="1" t="s">
        <v>362</v>
      </c>
      <c r="E57" s="1" t="s">
        <v>363</v>
      </c>
      <c r="F57" s="1" t="s">
        <v>42</v>
      </c>
      <c r="G57" s="1" t="s">
        <v>52</v>
      </c>
      <c r="H57" s="1" t="s">
        <v>364</v>
      </c>
      <c r="I57" s="1" t="s">
        <v>25</v>
      </c>
      <c r="J57" s="1" t="s">
        <v>365</v>
      </c>
      <c r="K57" s="56">
        <f t="shared" ca="1" si="1"/>
        <v>31</v>
      </c>
      <c r="L57" s="79" t="str">
        <f ca="1">_xlfn.XLOOKUP(K57,'Age Range'!A:A,'Age Range'!B:B)</f>
        <v>30-39</v>
      </c>
      <c r="M57" s="8" t="s">
        <v>268</v>
      </c>
      <c r="N57" s="56">
        <f t="shared" ca="1" si="0"/>
        <v>21</v>
      </c>
      <c r="O57" s="79" t="str">
        <f ca="1">_xlfn.XLOOKUP(N57,'LOS Range'!A:A,'LOS Range'!B:B)</f>
        <v>Above 20 years</v>
      </c>
      <c r="P57" s="1" t="s">
        <v>56</v>
      </c>
      <c r="Q57" s="1" t="s">
        <v>29</v>
      </c>
      <c r="R57" s="2">
        <v>203028.687408</v>
      </c>
      <c r="S57" s="1">
        <v>71</v>
      </c>
    </row>
    <row r="58" spans="1:19" s="3" customFormat="1" x14ac:dyDescent="0.2">
      <c r="A58" s="1">
        <v>57</v>
      </c>
      <c r="B58" s="1" t="s">
        <v>366</v>
      </c>
      <c r="C58" s="1" t="s">
        <v>367</v>
      </c>
      <c r="D58" s="1" t="s">
        <v>368</v>
      </c>
      <c r="E58" s="1" t="s">
        <v>369</v>
      </c>
      <c r="F58" s="1" t="s">
        <v>42</v>
      </c>
      <c r="G58" s="1" t="s">
        <v>52</v>
      </c>
      <c r="H58" s="1" t="s">
        <v>370</v>
      </c>
      <c r="I58" s="1" t="s">
        <v>63</v>
      </c>
      <c r="J58" s="1" t="s">
        <v>371</v>
      </c>
      <c r="K58" s="56">
        <f t="shared" ca="1" si="1"/>
        <v>35</v>
      </c>
      <c r="L58" s="79" t="str">
        <f ca="1">_xlfn.XLOOKUP(K58,'Age Range'!A:A,'Age Range'!B:B)</f>
        <v>30-39</v>
      </c>
      <c r="M58" s="8" t="s">
        <v>229</v>
      </c>
      <c r="N58" s="56">
        <f t="shared" ca="1" si="0"/>
        <v>13</v>
      </c>
      <c r="O58" s="79" t="str">
        <f ca="1">_xlfn.XLOOKUP(N58,'LOS Range'!A:A,'LOS Range'!B:B)</f>
        <v>10 - 14 years</v>
      </c>
      <c r="P58" s="1" t="s">
        <v>28</v>
      </c>
      <c r="Q58" s="1" t="s">
        <v>29</v>
      </c>
      <c r="R58" s="2">
        <v>223639.6628544</v>
      </c>
      <c r="S58" s="1">
        <v>72</v>
      </c>
    </row>
    <row r="59" spans="1:19" s="3" customFormat="1" x14ac:dyDescent="0.2">
      <c r="A59" s="1">
        <v>58</v>
      </c>
      <c r="B59" s="1" t="s">
        <v>372</v>
      </c>
      <c r="C59" s="1" t="s">
        <v>373</v>
      </c>
      <c r="D59" s="1" t="s">
        <v>374</v>
      </c>
      <c r="E59" s="1" t="s">
        <v>375</v>
      </c>
      <c r="F59" s="1" t="s">
        <v>42</v>
      </c>
      <c r="G59" s="1" t="s">
        <v>52</v>
      </c>
      <c r="H59" s="1" t="s">
        <v>62</v>
      </c>
      <c r="I59" s="1" t="s">
        <v>25</v>
      </c>
      <c r="J59" s="1" t="s">
        <v>376</v>
      </c>
      <c r="K59" s="56">
        <f t="shared" ca="1" si="1"/>
        <v>37</v>
      </c>
      <c r="L59" s="79" t="str">
        <f ca="1">_xlfn.XLOOKUP(K59,'Age Range'!A:A,'Age Range'!B:B)</f>
        <v>30-39</v>
      </c>
      <c r="M59" s="8" t="s">
        <v>81</v>
      </c>
      <c r="N59" s="56">
        <f t="shared" ca="1" si="0"/>
        <v>16</v>
      </c>
      <c r="O59" s="79" t="str">
        <f ca="1">_xlfn.XLOOKUP(N59,'LOS Range'!A:A,'LOS Range'!B:B)</f>
        <v>15 - 19 years</v>
      </c>
      <c r="P59" s="1" t="s">
        <v>28</v>
      </c>
      <c r="Q59" s="1" t="s">
        <v>29</v>
      </c>
      <c r="R59" s="2">
        <v>266581.69073279999</v>
      </c>
      <c r="S59" s="1">
        <v>73</v>
      </c>
    </row>
    <row r="60" spans="1:19" s="3" customFormat="1" x14ac:dyDescent="0.2">
      <c r="A60" s="1">
        <v>59</v>
      </c>
      <c r="B60" s="1" t="s">
        <v>377</v>
      </c>
      <c r="C60" s="1" t="s">
        <v>378</v>
      </c>
      <c r="D60" s="1" t="s">
        <v>379</v>
      </c>
      <c r="E60" s="1" t="s">
        <v>380</v>
      </c>
      <c r="F60" s="1" t="s">
        <v>42</v>
      </c>
      <c r="G60" s="1" t="s">
        <v>52</v>
      </c>
      <c r="H60" s="1" t="s">
        <v>364</v>
      </c>
      <c r="I60" s="1" t="s">
        <v>63</v>
      </c>
      <c r="J60" s="1" t="s">
        <v>381</v>
      </c>
      <c r="K60" s="56">
        <f t="shared" ca="1" si="1"/>
        <v>39</v>
      </c>
      <c r="L60" s="79" t="str">
        <f ca="1">_xlfn.XLOOKUP(K60,'Age Range'!A:A,'Age Range'!B:B)</f>
        <v>30-39</v>
      </c>
      <c r="M60" s="8" t="s">
        <v>382</v>
      </c>
      <c r="N60" s="56">
        <f t="shared" ca="1" si="0"/>
        <v>13</v>
      </c>
      <c r="O60" s="79" t="str">
        <f ca="1">_xlfn.XLOOKUP(N60,'LOS Range'!A:A,'LOS Range'!B:B)</f>
        <v>10 - 14 years</v>
      </c>
      <c r="P60" s="1" t="s">
        <v>28</v>
      </c>
      <c r="Q60" s="1" t="s">
        <v>29</v>
      </c>
      <c r="R60" s="2">
        <v>222195.30916079998</v>
      </c>
      <c r="S60" s="1">
        <v>74</v>
      </c>
    </row>
    <row r="61" spans="1:19" s="3" customFormat="1" x14ac:dyDescent="0.2">
      <c r="A61" s="1">
        <v>60</v>
      </c>
      <c r="B61" s="1" t="s">
        <v>383</v>
      </c>
      <c r="C61" s="1" t="s">
        <v>384</v>
      </c>
      <c r="D61" s="1" t="s">
        <v>385</v>
      </c>
      <c r="E61" s="1" t="s">
        <v>386</v>
      </c>
      <c r="F61" s="1" t="s">
        <v>42</v>
      </c>
      <c r="G61" s="1" t="s">
        <v>52</v>
      </c>
      <c r="H61" s="1" t="s">
        <v>387</v>
      </c>
      <c r="I61" s="1" t="s">
        <v>25</v>
      </c>
      <c r="J61" s="1" t="s">
        <v>388</v>
      </c>
      <c r="K61" s="56">
        <f t="shared" ca="1" si="1"/>
        <v>29</v>
      </c>
      <c r="L61" s="79" t="str">
        <f ca="1">_xlfn.XLOOKUP(K61,'Age Range'!A:A,'Age Range'!B:B)</f>
        <v>20-29</v>
      </c>
      <c r="M61" s="8" t="s">
        <v>389</v>
      </c>
      <c r="N61" s="56">
        <f t="shared" ca="1" si="0"/>
        <v>13</v>
      </c>
      <c r="O61" s="79" t="str">
        <f ca="1">_xlfn.XLOOKUP(N61,'LOS Range'!A:A,'LOS Range'!B:B)</f>
        <v>10 - 14 years</v>
      </c>
      <c r="P61" s="1" t="s">
        <v>28</v>
      </c>
      <c r="Q61" s="1" t="s">
        <v>29</v>
      </c>
      <c r="R61" s="4">
        <v>235222.281564</v>
      </c>
      <c r="S61" s="1">
        <v>75</v>
      </c>
    </row>
    <row r="62" spans="1:19" s="3" customFormat="1" x14ac:dyDescent="0.2">
      <c r="A62" s="1">
        <v>61</v>
      </c>
      <c r="B62" s="1" t="s">
        <v>390</v>
      </c>
      <c r="C62" s="1" t="s">
        <v>391</v>
      </c>
      <c r="D62" s="1" t="s">
        <v>392</v>
      </c>
      <c r="E62" s="1" t="s">
        <v>393</v>
      </c>
      <c r="F62" s="1" t="s">
        <v>42</v>
      </c>
      <c r="G62" s="1" t="s">
        <v>78</v>
      </c>
      <c r="H62" s="1" t="s">
        <v>24</v>
      </c>
      <c r="I62" s="1" t="s">
        <v>63</v>
      </c>
      <c r="J62" s="1" t="s">
        <v>394</v>
      </c>
      <c r="K62" s="56">
        <f t="shared" ca="1" si="1"/>
        <v>33</v>
      </c>
      <c r="L62" s="79" t="str">
        <f ca="1">_xlfn.XLOOKUP(K62,'Age Range'!A:A,'Age Range'!B:B)</f>
        <v>30-39</v>
      </c>
      <c r="M62" s="8" t="s">
        <v>395</v>
      </c>
      <c r="N62" s="56">
        <f t="shared" ca="1" si="0"/>
        <v>13</v>
      </c>
      <c r="O62" s="79" t="str">
        <f ca="1">_xlfn.XLOOKUP(N62,'LOS Range'!A:A,'LOS Range'!B:B)</f>
        <v>10 - 14 years</v>
      </c>
      <c r="P62" s="1" t="s">
        <v>121</v>
      </c>
      <c r="Q62" s="1" t="s">
        <v>29</v>
      </c>
      <c r="R62" s="4">
        <v>236981.49966480001</v>
      </c>
      <c r="S62" s="1">
        <v>60</v>
      </c>
    </row>
    <row r="63" spans="1:19" s="3" customFormat="1" x14ac:dyDescent="0.2">
      <c r="A63" s="1">
        <v>62</v>
      </c>
      <c r="B63" s="1" t="s">
        <v>396</v>
      </c>
      <c r="C63" s="1" t="s">
        <v>397</v>
      </c>
      <c r="D63" s="1" t="s">
        <v>398</v>
      </c>
      <c r="E63" s="1" t="s">
        <v>399</v>
      </c>
      <c r="F63" s="1" t="s">
        <v>42</v>
      </c>
      <c r="G63" s="1" t="s">
        <v>78</v>
      </c>
      <c r="H63" s="1" t="s">
        <v>79</v>
      </c>
      <c r="I63" s="1" t="s">
        <v>25</v>
      </c>
      <c r="J63" s="1" t="s">
        <v>400</v>
      </c>
      <c r="K63" s="56">
        <f t="shared" ca="1" si="1"/>
        <v>25</v>
      </c>
      <c r="L63" s="79" t="str">
        <f ca="1">_xlfn.XLOOKUP(K63,'Age Range'!A:A,'Age Range'!B:B)</f>
        <v>20-29</v>
      </c>
      <c r="M63" s="8" t="s">
        <v>401</v>
      </c>
      <c r="N63" s="56">
        <f t="shared" ca="1" si="0"/>
        <v>13</v>
      </c>
      <c r="O63" s="79" t="str">
        <f ca="1">_xlfn.XLOOKUP(N63,'LOS Range'!A:A,'LOS Range'!B:B)</f>
        <v>10 - 14 years</v>
      </c>
      <c r="P63" s="1" t="s">
        <v>28</v>
      </c>
      <c r="Q63" s="1" t="s">
        <v>29</v>
      </c>
      <c r="R63" s="2">
        <v>198389.34647039999</v>
      </c>
      <c r="S63" s="1">
        <v>61</v>
      </c>
    </row>
    <row r="64" spans="1:19" s="3" customFormat="1" x14ac:dyDescent="0.2">
      <c r="A64" s="1">
        <v>63</v>
      </c>
      <c r="B64" s="1" t="s">
        <v>402</v>
      </c>
      <c r="C64" s="1" t="s">
        <v>403</v>
      </c>
      <c r="D64" s="1" t="s">
        <v>404</v>
      </c>
      <c r="E64" s="1" t="s">
        <v>405</v>
      </c>
      <c r="F64" s="1" t="s">
        <v>42</v>
      </c>
      <c r="G64" s="1" t="s">
        <v>78</v>
      </c>
      <c r="H64" s="1" t="s">
        <v>79</v>
      </c>
      <c r="I64" s="1" t="s">
        <v>63</v>
      </c>
      <c r="J64" s="1" t="s">
        <v>358</v>
      </c>
      <c r="K64" s="56">
        <f t="shared" ca="1" si="1"/>
        <v>45</v>
      </c>
      <c r="L64" s="79" t="str">
        <f ca="1">_xlfn.XLOOKUP(K64,'Age Range'!A:A,'Age Range'!B:B)</f>
        <v>40-49</v>
      </c>
      <c r="M64" s="8" t="s">
        <v>229</v>
      </c>
      <c r="N64" s="56">
        <f t="shared" ca="1" si="0"/>
        <v>13</v>
      </c>
      <c r="O64" s="79" t="str">
        <f ca="1">_xlfn.XLOOKUP(N64,'LOS Range'!A:A,'LOS Range'!B:B)</f>
        <v>10 - 14 years</v>
      </c>
      <c r="P64" s="1" t="s">
        <v>28</v>
      </c>
      <c r="Q64" s="1" t="s">
        <v>29</v>
      </c>
      <c r="R64" s="4">
        <v>225003.6</v>
      </c>
      <c r="S64" s="1">
        <v>62</v>
      </c>
    </row>
    <row r="65" spans="1:19" s="3" customFormat="1" x14ac:dyDescent="0.2">
      <c r="A65" s="1">
        <v>64</v>
      </c>
      <c r="B65" s="1" t="s">
        <v>406</v>
      </c>
      <c r="C65" s="1" t="s">
        <v>407</v>
      </c>
      <c r="D65" s="1" t="s">
        <v>408</v>
      </c>
      <c r="E65" s="1" t="s">
        <v>409</v>
      </c>
      <c r="F65" s="1" t="s">
        <v>42</v>
      </c>
      <c r="G65" s="1" t="s">
        <v>78</v>
      </c>
      <c r="H65" s="1" t="s">
        <v>79</v>
      </c>
      <c r="I65" s="1" t="s">
        <v>25</v>
      </c>
      <c r="J65" s="1" t="s">
        <v>410</v>
      </c>
      <c r="K65" s="56">
        <f t="shared" ca="1" si="1"/>
        <v>35</v>
      </c>
      <c r="L65" s="79" t="str">
        <f ca="1">_xlfn.XLOOKUP(K65,'Age Range'!A:A,'Age Range'!B:B)</f>
        <v>30-39</v>
      </c>
      <c r="M65" s="8" t="s">
        <v>411</v>
      </c>
      <c r="N65" s="56">
        <f t="shared" ca="1" si="0"/>
        <v>17</v>
      </c>
      <c r="O65" s="79" t="str">
        <f ca="1">_xlfn.XLOOKUP(N65,'LOS Range'!A:A,'LOS Range'!B:B)</f>
        <v>15 - 19 years</v>
      </c>
      <c r="P65" s="1" t="s">
        <v>28</v>
      </c>
      <c r="Q65" s="1" t="s">
        <v>29</v>
      </c>
      <c r="R65" s="2">
        <v>201692.70970559999</v>
      </c>
      <c r="S65" s="1">
        <v>63</v>
      </c>
    </row>
    <row r="66" spans="1:19" s="3" customFormat="1" x14ac:dyDescent="0.2">
      <c r="A66" s="1">
        <v>65</v>
      </c>
      <c r="B66" s="1" t="s">
        <v>412</v>
      </c>
      <c r="C66" s="1" t="s">
        <v>413</v>
      </c>
      <c r="D66" s="1" t="s">
        <v>414</v>
      </c>
      <c r="E66" s="1" t="s">
        <v>297</v>
      </c>
      <c r="F66" s="1" t="s">
        <v>42</v>
      </c>
      <c r="G66" s="1" t="s">
        <v>78</v>
      </c>
      <c r="H66" s="1" t="s">
        <v>79</v>
      </c>
      <c r="I66" s="1" t="s">
        <v>63</v>
      </c>
      <c r="J66" s="1" t="s">
        <v>415</v>
      </c>
      <c r="K66" s="56">
        <f t="shared" ref="K66:K129" ca="1" si="2">ROUNDDOWN((TODAY()-J66)/365,0)</f>
        <v>36</v>
      </c>
      <c r="L66" s="79" t="str">
        <f ca="1">_xlfn.XLOOKUP(K66,'Age Range'!A:A,'Age Range'!B:B)</f>
        <v>30-39</v>
      </c>
      <c r="M66" s="8" t="s">
        <v>251</v>
      </c>
      <c r="N66" s="56">
        <f t="shared" ref="N66:N129" ca="1" si="3">ROUNDDOWN((TODAY()-M66)/365,0)</f>
        <v>12</v>
      </c>
      <c r="O66" s="79" t="str">
        <f ca="1">_xlfn.XLOOKUP(N66,'LOS Range'!A:A,'LOS Range'!B:B)</f>
        <v>10 - 14 years</v>
      </c>
      <c r="P66" s="1" t="s">
        <v>28</v>
      </c>
      <c r="Q66" s="1" t="s">
        <v>29</v>
      </c>
      <c r="R66" s="2">
        <v>225003.6</v>
      </c>
      <c r="S66" s="1">
        <v>64</v>
      </c>
    </row>
    <row r="67" spans="1:19" s="3" customFormat="1" x14ac:dyDescent="0.2">
      <c r="A67" s="1">
        <v>66</v>
      </c>
      <c r="B67" s="1" t="s">
        <v>416</v>
      </c>
      <c r="C67" s="1" t="s">
        <v>417</v>
      </c>
      <c r="D67" s="1" t="s">
        <v>418</v>
      </c>
      <c r="E67" s="1" t="s">
        <v>419</v>
      </c>
      <c r="F67" s="1" t="s">
        <v>42</v>
      </c>
      <c r="G67" s="1" t="s">
        <v>78</v>
      </c>
      <c r="H67" s="1" t="s">
        <v>79</v>
      </c>
      <c r="I67" s="1" t="s">
        <v>25</v>
      </c>
      <c r="J67" s="1" t="s">
        <v>420</v>
      </c>
      <c r="K67" s="56">
        <f t="shared" ca="1" si="2"/>
        <v>28</v>
      </c>
      <c r="L67" s="79" t="str">
        <f ca="1">_xlfn.XLOOKUP(K67,'Age Range'!A:A,'Age Range'!B:B)</f>
        <v>20-29</v>
      </c>
      <c r="M67" s="8" t="s">
        <v>421</v>
      </c>
      <c r="N67" s="56">
        <f t="shared" ca="1" si="3"/>
        <v>12</v>
      </c>
      <c r="O67" s="79" t="str">
        <f ca="1">_xlfn.XLOOKUP(N67,'LOS Range'!A:A,'LOS Range'!B:B)</f>
        <v>10 - 14 years</v>
      </c>
      <c r="P67" s="1" t="s">
        <v>28</v>
      </c>
      <c r="Q67" s="1" t="s">
        <v>29</v>
      </c>
      <c r="R67" s="2">
        <v>201511.4317056</v>
      </c>
      <c r="S67" s="1">
        <v>65</v>
      </c>
    </row>
    <row r="68" spans="1:19" s="3" customFormat="1" x14ac:dyDescent="0.2">
      <c r="A68" s="1">
        <v>67</v>
      </c>
      <c r="B68" s="1" t="s">
        <v>422</v>
      </c>
      <c r="C68" s="1" t="s">
        <v>423</v>
      </c>
      <c r="D68" s="1" t="s">
        <v>424</v>
      </c>
      <c r="E68" s="1" t="s">
        <v>425</v>
      </c>
      <c r="F68" s="1" t="s">
        <v>34</v>
      </c>
      <c r="G68" s="1" t="s">
        <v>35</v>
      </c>
      <c r="H68" s="1" t="s">
        <v>24</v>
      </c>
      <c r="I68" s="1" t="s">
        <v>63</v>
      </c>
      <c r="J68" s="1" t="s">
        <v>426</v>
      </c>
      <c r="K68" s="56">
        <f t="shared" ca="1" si="2"/>
        <v>53</v>
      </c>
      <c r="L68" s="79" t="str">
        <f ca="1">_xlfn.XLOOKUP(K68,'Age Range'!A:A,'Age Range'!B:B)</f>
        <v>50-55</v>
      </c>
      <c r="M68" s="8" t="s">
        <v>37</v>
      </c>
      <c r="N68" s="56">
        <f t="shared" ca="1" si="3"/>
        <v>12</v>
      </c>
      <c r="O68" s="79" t="str">
        <f ca="1">_xlfn.XLOOKUP(N68,'LOS Range'!A:A,'LOS Range'!B:B)</f>
        <v>10 - 14 years</v>
      </c>
      <c r="P68" s="1" t="s">
        <v>28</v>
      </c>
      <c r="Q68" s="1" t="s">
        <v>29</v>
      </c>
      <c r="R68" s="2">
        <v>232520.50421760001</v>
      </c>
      <c r="S68" s="1">
        <v>50</v>
      </c>
    </row>
    <row r="69" spans="1:19" s="3" customFormat="1" x14ac:dyDescent="0.2">
      <c r="A69" s="1">
        <v>68</v>
      </c>
      <c r="B69" s="1" t="s">
        <v>427</v>
      </c>
      <c r="C69" s="1" t="s">
        <v>428</v>
      </c>
      <c r="D69" s="1" t="s">
        <v>429</v>
      </c>
      <c r="E69" s="1" t="s">
        <v>430</v>
      </c>
      <c r="F69" s="1" t="s">
        <v>34</v>
      </c>
      <c r="G69" s="1" t="s">
        <v>35</v>
      </c>
      <c r="H69" s="1" t="s">
        <v>24</v>
      </c>
      <c r="I69" s="1" t="s">
        <v>25</v>
      </c>
      <c r="J69" s="1" t="s">
        <v>431</v>
      </c>
      <c r="K69" s="56">
        <f t="shared" ca="1" si="2"/>
        <v>30</v>
      </c>
      <c r="L69" s="79" t="str">
        <f ca="1">_xlfn.XLOOKUP(K69,'Age Range'!A:A,'Age Range'!B:B)</f>
        <v>30-39</v>
      </c>
      <c r="M69" s="8" t="s">
        <v>432</v>
      </c>
      <c r="N69" s="56">
        <f t="shared" ca="1" si="3"/>
        <v>12</v>
      </c>
      <c r="O69" s="79" t="str">
        <f ca="1">_xlfn.XLOOKUP(N69,'LOS Range'!A:A,'LOS Range'!B:B)</f>
        <v>10 - 14 years</v>
      </c>
      <c r="P69" s="1" t="s">
        <v>47</v>
      </c>
      <c r="Q69" s="1" t="s">
        <v>29</v>
      </c>
      <c r="R69" s="2">
        <v>267186.16262880003</v>
      </c>
      <c r="S69" s="1">
        <v>51</v>
      </c>
    </row>
    <row r="70" spans="1:19" s="3" customFormat="1" x14ac:dyDescent="0.2">
      <c r="A70" s="1">
        <v>69</v>
      </c>
      <c r="B70" s="1" t="s">
        <v>433</v>
      </c>
      <c r="C70" s="1" t="s">
        <v>434</v>
      </c>
      <c r="D70" s="1" t="s">
        <v>435</v>
      </c>
      <c r="E70" s="1" t="s">
        <v>436</v>
      </c>
      <c r="F70" s="1" t="s">
        <v>34</v>
      </c>
      <c r="G70" s="1" t="s">
        <v>35</v>
      </c>
      <c r="H70" s="1" t="s">
        <v>24</v>
      </c>
      <c r="I70" s="1" t="s">
        <v>63</v>
      </c>
      <c r="J70" s="1" t="s">
        <v>437</v>
      </c>
      <c r="K70" s="56">
        <f t="shared" ca="1" si="2"/>
        <v>27</v>
      </c>
      <c r="L70" s="79" t="str">
        <f ca="1">_xlfn.XLOOKUP(K70,'Age Range'!A:A,'Age Range'!B:B)</f>
        <v>20-29</v>
      </c>
      <c r="M70" s="8" t="s">
        <v>438</v>
      </c>
      <c r="N70" s="56">
        <f t="shared" ca="1" si="3"/>
        <v>13</v>
      </c>
      <c r="O70" s="79" t="str">
        <f ca="1">_xlfn.XLOOKUP(N70,'LOS Range'!A:A,'LOS Range'!B:B)</f>
        <v>10 - 14 years</v>
      </c>
      <c r="P70" s="1" t="s">
        <v>47</v>
      </c>
      <c r="Q70" s="1" t="s">
        <v>29</v>
      </c>
      <c r="R70" s="2">
        <v>207492.60284160002</v>
      </c>
      <c r="S70" s="1">
        <v>52</v>
      </c>
    </row>
    <row r="71" spans="1:19" s="3" customFormat="1" x14ac:dyDescent="0.2">
      <c r="A71" s="1">
        <v>70</v>
      </c>
      <c r="B71" s="1" t="s">
        <v>439</v>
      </c>
      <c r="C71" s="1" t="s">
        <v>440</v>
      </c>
      <c r="D71" s="1" t="s">
        <v>441</v>
      </c>
      <c r="E71" s="1" t="s">
        <v>442</v>
      </c>
      <c r="F71" s="1" t="s">
        <v>34</v>
      </c>
      <c r="G71" s="1" t="s">
        <v>35</v>
      </c>
      <c r="H71" s="1" t="s">
        <v>24</v>
      </c>
      <c r="I71" s="1" t="s">
        <v>25</v>
      </c>
      <c r="J71" s="1" t="s">
        <v>443</v>
      </c>
      <c r="K71" s="56">
        <f t="shared" ca="1" si="2"/>
        <v>33</v>
      </c>
      <c r="L71" s="79" t="str">
        <f ca="1">_xlfn.XLOOKUP(K71,'Age Range'!A:A,'Age Range'!B:B)</f>
        <v>30-39</v>
      </c>
      <c r="M71" s="8" t="s">
        <v>444</v>
      </c>
      <c r="N71" s="56">
        <f t="shared" ca="1" si="3"/>
        <v>14</v>
      </c>
      <c r="O71" s="79" t="str">
        <f ca="1">_xlfn.XLOOKUP(N71,'LOS Range'!A:A,'LOS Range'!B:B)</f>
        <v>10 - 14 years</v>
      </c>
      <c r="P71" s="1" t="s">
        <v>99</v>
      </c>
      <c r="Q71" s="1" t="s">
        <v>29</v>
      </c>
      <c r="R71" s="2">
        <v>192340.48462080001</v>
      </c>
      <c r="S71" s="1">
        <v>53</v>
      </c>
    </row>
    <row r="72" spans="1:19" s="3" customFormat="1" x14ac:dyDescent="0.2">
      <c r="A72" s="1">
        <v>71</v>
      </c>
      <c r="B72" s="1" t="s">
        <v>445</v>
      </c>
      <c r="C72" s="1" t="s">
        <v>446</v>
      </c>
      <c r="D72" s="1" t="s">
        <v>447</v>
      </c>
      <c r="E72" s="1" t="s">
        <v>448</v>
      </c>
      <c r="F72" s="1" t="s">
        <v>34</v>
      </c>
      <c r="G72" s="1" t="s">
        <v>35</v>
      </c>
      <c r="H72" s="1" t="s">
        <v>24</v>
      </c>
      <c r="I72" s="1" t="s">
        <v>63</v>
      </c>
      <c r="J72" s="1" t="s">
        <v>449</v>
      </c>
      <c r="K72" s="56">
        <f t="shared" ca="1" si="2"/>
        <v>29</v>
      </c>
      <c r="L72" s="79" t="str">
        <f ca="1">_xlfn.XLOOKUP(K72,'Age Range'!A:A,'Age Range'!B:B)</f>
        <v>20-29</v>
      </c>
      <c r="M72" s="8" t="s">
        <v>450</v>
      </c>
      <c r="N72" s="56">
        <f t="shared" ca="1" si="3"/>
        <v>21</v>
      </c>
      <c r="O72" s="79" t="str">
        <f ca="1">_xlfn.XLOOKUP(N72,'LOS Range'!A:A,'LOS Range'!B:B)</f>
        <v>Above 20 years</v>
      </c>
      <c r="P72" s="1" t="s">
        <v>28</v>
      </c>
      <c r="Q72" s="1" t="s">
        <v>29</v>
      </c>
      <c r="R72" s="2">
        <v>249821.88907919999</v>
      </c>
      <c r="S72" s="1">
        <v>54</v>
      </c>
    </row>
    <row r="73" spans="1:19" s="3" customFormat="1" x14ac:dyDescent="0.2">
      <c r="A73" s="1">
        <v>72</v>
      </c>
      <c r="B73" s="1" t="s">
        <v>451</v>
      </c>
      <c r="C73" s="1" t="s">
        <v>452</v>
      </c>
      <c r="D73" s="1" t="s">
        <v>453</v>
      </c>
      <c r="E73" s="1" t="s">
        <v>217</v>
      </c>
      <c r="F73" s="1" t="s">
        <v>42</v>
      </c>
      <c r="G73" s="1" t="s">
        <v>78</v>
      </c>
      <c r="H73" s="1" t="s">
        <v>79</v>
      </c>
      <c r="I73" s="1" t="s">
        <v>25</v>
      </c>
      <c r="J73" s="1" t="s">
        <v>454</v>
      </c>
      <c r="K73" s="56">
        <f t="shared" ca="1" si="2"/>
        <v>40</v>
      </c>
      <c r="L73" s="79" t="str">
        <f ca="1">_xlfn.XLOOKUP(K73,'Age Range'!A:A,'Age Range'!B:B)</f>
        <v>40-49</v>
      </c>
      <c r="M73" s="8" t="s">
        <v>455</v>
      </c>
      <c r="N73" s="56">
        <f t="shared" ca="1" si="3"/>
        <v>23</v>
      </c>
      <c r="O73" s="79" t="str">
        <f ca="1">_xlfn.XLOOKUP(N73,'LOS Range'!A:A,'LOS Range'!B:B)</f>
        <v>Above 20 years</v>
      </c>
      <c r="P73" s="1" t="s">
        <v>28</v>
      </c>
      <c r="Q73" s="1" t="s">
        <v>29</v>
      </c>
      <c r="R73" s="2">
        <v>294032.622432</v>
      </c>
      <c r="S73" s="1">
        <v>55</v>
      </c>
    </row>
    <row r="74" spans="1:19" s="3" customFormat="1" x14ac:dyDescent="0.2">
      <c r="A74" s="1">
        <v>73</v>
      </c>
      <c r="B74" s="1" t="s">
        <v>456</v>
      </c>
      <c r="C74" s="1" t="s">
        <v>457</v>
      </c>
      <c r="D74" s="1" t="s">
        <v>458</v>
      </c>
      <c r="E74" s="1" t="s">
        <v>459</v>
      </c>
      <c r="F74" s="1" t="s">
        <v>42</v>
      </c>
      <c r="G74" s="1" t="s">
        <v>78</v>
      </c>
      <c r="H74" s="1" t="s">
        <v>79</v>
      </c>
      <c r="I74" s="1" t="s">
        <v>63</v>
      </c>
      <c r="J74" s="1" t="s">
        <v>460</v>
      </c>
      <c r="K74" s="56">
        <f t="shared" ca="1" si="2"/>
        <v>30</v>
      </c>
      <c r="L74" s="79" t="str">
        <f ca="1">_xlfn.XLOOKUP(K74,'Age Range'!A:A,'Age Range'!B:B)</f>
        <v>30-39</v>
      </c>
      <c r="M74" s="8" t="s">
        <v>461</v>
      </c>
      <c r="N74" s="56">
        <f t="shared" ca="1" si="3"/>
        <v>25</v>
      </c>
      <c r="O74" s="79" t="str">
        <f ca="1">_xlfn.XLOOKUP(N74,'LOS Range'!A:A,'LOS Range'!B:B)</f>
        <v>Above 20 years</v>
      </c>
      <c r="P74" s="1" t="s">
        <v>28</v>
      </c>
      <c r="Q74" s="1" t="s">
        <v>29</v>
      </c>
      <c r="R74" s="2">
        <v>237404.710548</v>
      </c>
      <c r="S74" s="1">
        <v>40</v>
      </c>
    </row>
    <row r="75" spans="1:19" s="3" customFormat="1" x14ac:dyDescent="0.2">
      <c r="A75" s="1">
        <v>74</v>
      </c>
      <c r="B75" s="1" t="s">
        <v>462</v>
      </c>
      <c r="C75" s="1" t="s">
        <v>463</v>
      </c>
      <c r="D75" s="1" t="s">
        <v>464</v>
      </c>
      <c r="E75" s="1" t="s">
        <v>465</v>
      </c>
      <c r="F75" s="1" t="s">
        <v>42</v>
      </c>
      <c r="G75" s="1" t="s">
        <v>221</v>
      </c>
      <c r="H75" s="1" t="s">
        <v>466</v>
      </c>
      <c r="I75" s="1" t="s">
        <v>25</v>
      </c>
      <c r="J75" s="1" t="s">
        <v>467</v>
      </c>
      <c r="K75" s="56">
        <f t="shared" ca="1" si="2"/>
        <v>51</v>
      </c>
      <c r="L75" s="79" t="str">
        <f ca="1">_xlfn.XLOOKUP(K75,'Age Range'!A:A,'Age Range'!B:B)</f>
        <v>50-55</v>
      </c>
      <c r="M75" s="8" t="s">
        <v>468</v>
      </c>
      <c r="N75" s="56">
        <f t="shared" ca="1" si="3"/>
        <v>19</v>
      </c>
      <c r="O75" s="79" t="str">
        <f ca="1">_xlfn.XLOOKUP(N75,'LOS Range'!A:A,'LOS Range'!B:B)</f>
        <v>15 - 19 years</v>
      </c>
      <c r="P75" s="1" t="s">
        <v>28</v>
      </c>
      <c r="Q75" s="1" t="s">
        <v>29</v>
      </c>
      <c r="R75" s="2">
        <v>264260.77517759998</v>
      </c>
      <c r="S75" s="1">
        <v>41</v>
      </c>
    </row>
    <row r="76" spans="1:19" s="3" customFormat="1" x14ac:dyDescent="0.2">
      <c r="A76" s="1">
        <v>75</v>
      </c>
      <c r="B76" s="1" t="s">
        <v>469</v>
      </c>
      <c r="C76" s="1" t="s">
        <v>470</v>
      </c>
      <c r="D76" s="1" t="s">
        <v>471</v>
      </c>
      <c r="E76" s="1" t="s">
        <v>472</v>
      </c>
      <c r="F76" s="1" t="s">
        <v>34</v>
      </c>
      <c r="G76" s="1" t="s">
        <v>35</v>
      </c>
      <c r="H76" s="1" t="s">
        <v>24</v>
      </c>
      <c r="I76" s="1" t="s">
        <v>63</v>
      </c>
      <c r="J76" s="1" t="s">
        <v>473</v>
      </c>
      <c r="K76" s="56">
        <f t="shared" ca="1" si="2"/>
        <v>31</v>
      </c>
      <c r="L76" s="79" t="str">
        <f ca="1">_xlfn.XLOOKUP(K76,'Age Range'!A:A,'Age Range'!B:B)</f>
        <v>30-39</v>
      </c>
      <c r="M76" s="8" t="s">
        <v>474</v>
      </c>
      <c r="N76" s="56">
        <f t="shared" ca="1" si="3"/>
        <v>26</v>
      </c>
      <c r="O76" s="79" t="str">
        <f ca="1">_xlfn.XLOOKUP(N76,'LOS Range'!A:A,'LOS Range'!B:B)</f>
        <v>Above 20 years</v>
      </c>
      <c r="P76" s="1" t="s">
        <v>56</v>
      </c>
      <c r="Q76" s="1" t="s">
        <v>29</v>
      </c>
      <c r="R76" s="2">
        <v>218259.99</v>
      </c>
      <c r="S76" s="1">
        <v>42</v>
      </c>
    </row>
    <row r="77" spans="1:19" s="3" customFormat="1" x14ac:dyDescent="0.2">
      <c r="A77" s="1">
        <v>76</v>
      </c>
      <c r="B77" s="1" t="s">
        <v>475</v>
      </c>
      <c r="C77" s="1" t="s">
        <v>476</v>
      </c>
      <c r="D77" s="1" t="s">
        <v>477</v>
      </c>
      <c r="E77" s="1" t="s">
        <v>478</v>
      </c>
      <c r="F77" s="1" t="s">
        <v>61</v>
      </c>
      <c r="G77" s="1" t="s">
        <v>336</v>
      </c>
      <c r="H77" s="1" t="s">
        <v>337</v>
      </c>
      <c r="I77" s="1" t="s">
        <v>25</v>
      </c>
      <c r="J77" s="1" t="s">
        <v>479</v>
      </c>
      <c r="K77" s="56">
        <f t="shared" ca="1" si="2"/>
        <v>34</v>
      </c>
      <c r="L77" s="79" t="str">
        <f ca="1">_xlfn.XLOOKUP(K77,'Age Range'!A:A,'Age Range'!B:B)</f>
        <v>30-39</v>
      </c>
      <c r="M77" s="8" t="s">
        <v>480</v>
      </c>
      <c r="N77" s="56">
        <f t="shared" ca="1" si="3"/>
        <v>21</v>
      </c>
      <c r="O77" s="79" t="str">
        <f ca="1">_xlfn.XLOOKUP(N77,'LOS Range'!A:A,'LOS Range'!B:B)</f>
        <v>Above 20 years</v>
      </c>
      <c r="P77" s="1" t="s">
        <v>185</v>
      </c>
      <c r="Q77" s="1" t="s">
        <v>29</v>
      </c>
      <c r="R77" s="2">
        <v>326290.74</v>
      </c>
      <c r="S77" s="1">
        <v>43</v>
      </c>
    </row>
    <row r="78" spans="1:19" s="3" customFormat="1" x14ac:dyDescent="0.2">
      <c r="A78" s="1">
        <v>77</v>
      </c>
      <c r="B78" s="1" t="s">
        <v>481</v>
      </c>
      <c r="C78" s="1" t="s">
        <v>482</v>
      </c>
      <c r="D78" s="1" t="s">
        <v>483</v>
      </c>
      <c r="E78" s="1" t="s">
        <v>484</v>
      </c>
      <c r="F78" s="1" t="s">
        <v>34</v>
      </c>
      <c r="G78" s="1" t="s">
        <v>350</v>
      </c>
      <c r="H78" s="1" t="s">
        <v>485</v>
      </c>
      <c r="I78" s="1" t="s">
        <v>63</v>
      </c>
      <c r="J78" s="1" t="s">
        <v>486</v>
      </c>
      <c r="K78" s="56">
        <f t="shared" ca="1" si="2"/>
        <v>29</v>
      </c>
      <c r="L78" s="79" t="str">
        <f ca="1">_xlfn.XLOOKUP(K78,'Age Range'!A:A,'Age Range'!B:B)</f>
        <v>20-29</v>
      </c>
      <c r="M78" s="8" t="s">
        <v>487</v>
      </c>
      <c r="N78" s="56">
        <f t="shared" ca="1" si="3"/>
        <v>22</v>
      </c>
      <c r="O78" s="79" t="str">
        <f ca="1">_xlfn.XLOOKUP(N78,'LOS Range'!A:A,'LOS Range'!B:B)</f>
        <v>Above 20 years</v>
      </c>
      <c r="P78" s="1" t="s">
        <v>28</v>
      </c>
      <c r="Q78" s="1" t="s">
        <v>29</v>
      </c>
      <c r="R78" s="2">
        <v>434213.61</v>
      </c>
      <c r="S78" s="1">
        <v>44</v>
      </c>
    </row>
    <row r="79" spans="1:19" s="3" customFormat="1" x14ac:dyDescent="0.2">
      <c r="A79" s="1">
        <v>78</v>
      </c>
      <c r="B79" s="1" t="s">
        <v>488</v>
      </c>
      <c r="C79" s="1" t="s">
        <v>489</v>
      </c>
      <c r="D79" s="1" t="s">
        <v>490</v>
      </c>
      <c r="E79" s="1" t="s">
        <v>491</v>
      </c>
      <c r="F79" s="1" t="s">
        <v>42</v>
      </c>
      <c r="G79" s="1" t="s">
        <v>78</v>
      </c>
      <c r="H79" s="1" t="s">
        <v>492</v>
      </c>
      <c r="I79" s="1" t="s">
        <v>25</v>
      </c>
      <c r="J79" s="1" t="s">
        <v>493</v>
      </c>
      <c r="K79" s="56">
        <f t="shared" ca="1" si="2"/>
        <v>41</v>
      </c>
      <c r="L79" s="79" t="str">
        <f ca="1">_xlfn.XLOOKUP(K79,'Age Range'!A:A,'Age Range'!B:B)</f>
        <v>40-49</v>
      </c>
      <c r="M79" s="8" t="s">
        <v>494</v>
      </c>
      <c r="N79" s="56">
        <f t="shared" ca="1" si="3"/>
        <v>20</v>
      </c>
      <c r="O79" s="79" t="str">
        <f ca="1">_xlfn.XLOOKUP(N79,'LOS Range'!A:A,'LOS Range'!B:B)</f>
        <v>Above 20 years</v>
      </c>
      <c r="P79" s="1" t="s">
        <v>28</v>
      </c>
      <c r="Q79" s="1" t="s">
        <v>29</v>
      </c>
      <c r="R79" s="2">
        <v>509930.61333647498</v>
      </c>
      <c r="S79" s="1">
        <v>45</v>
      </c>
    </row>
    <row r="80" spans="1:19" s="3" customFormat="1" x14ac:dyDescent="0.2">
      <c r="A80" s="1">
        <v>79</v>
      </c>
      <c r="B80" s="1" t="s">
        <v>495</v>
      </c>
      <c r="C80" s="1" t="s">
        <v>496</v>
      </c>
      <c r="D80" s="1" t="s">
        <v>497</v>
      </c>
      <c r="E80" s="1" t="s">
        <v>498</v>
      </c>
      <c r="F80" s="1" t="s">
        <v>42</v>
      </c>
      <c r="G80" s="1" t="s">
        <v>221</v>
      </c>
      <c r="H80" s="1" t="s">
        <v>499</v>
      </c>
      <c r="I80" s="1" t="s">
        <v>63</v>
      </c>
      <c r="J80" s="1" t="s">
        <v>500</v>
      </c>
      <c r="K80" s="56">
        <f t="shared" ca="1" si="2"/>
        <v>30</v>
      </c>
      <c r="L80" s="79" t="str">
        <f ca="1">_xlfn.XLOOKUP(K80,'Age Range'!A:A,'Age Range'!B:B)</f>
        <v>30-39</v>
      </c>
      <c r="M80" s="8" t="s">
        <v>450</v>
      </c>
      <c r="N80" s="56">
        <f t="shared" ca="1" si="3"/>
        <v>21</v>
      </c>
      <c r="O80" s="79" t="str">
        <f ca="1">_xlfn.XLOOKUP(N80,'LOS Range'!A:A,'LOS Range'!B:B)</f>
        <v>Above 20 years</v>
      </c>
      <c r="P80" s="1" t="s">
        <v>56</v>
      </c>
      <c r="Q80" s="1" t="s">
        <v>29</v>
      </c>
      <c r="R80" s="2">
        <v>434213.49</v>
      </c>
      <c r="S80" s="1">
        <v>30</v>
      </c>
    </row>
    <row r="81" spans="1:19" s="3" customFormat="1" x14ac:dyDescent="0.2">
      <c r="A81" s="1">
        <v>80</v>
      </c>
      <c r="B81" s="1" t="s">
        <v>501</v>
      </c>
      <c r="C81" s="1" t="s">
        <v>502</v>
      </c>
      <c r="D81" s="1" t="s">
        <v>503</v>
      </c>
      <c r="E81" s="1" t="s">
        <v>504</v>
      </c>
      <c r="F81" s="1" t="s">
        <v>42</v>
      </c>
      <c r="G81" s="1" t="s">
        <v>43</v>
      </c>
      <c r="H81" s="1" t="s">
        <v>505</v>
      </c>
      <c r="I81" s="1" t="s">
        <v>25</v>
      </c>
      <c r="J81" s="1" t="s">
        <v>506</v>
      </c>
      <c r="K81" s="56">
        <f t="shared" ca="1" si="2"/>
        <v>32</v>
      </c>
      <c r="L81" s="79" t="str">
        <f ca="1">_xlfn.XLOOKUP(K81,'Age Range'!A:A,'Age Range'!B:B)</f>
        <v>30-39</v>
      </c>
      <c r="M81" s="8" t="s">
        <v>507</v>
      </c>
      <c r="N81" s="56">
        <f t="shared" ca="1" si="3"/>
        <v>22</v>
      </c>
      <c r="O81" s="79" t="str">
        <f ca="1">_xlfn.XLOOKUP(N81,'LOS Range'!A:A,'LOS Range'!B:B)</f>
        <v>Above 20 years</v>
      </c>
      <c r="P81" s="1" t="s">
        <v>28</v>
      </c>
      <c r="Q81" s="1" t="s">
        <v>29</v>
      </c>
      <c r="R81" s="2">
        <v>536723.64</v>
      </c>
      <c r="S81" s="1">
        <v>31</v>
      </c>
    </row>
    <row r="82" spans="1:19" s="3" customFormat="1" x14ac:dyDescent="0.2">
      <c r="A82" s="1">
        <v>81</v>
      </c>
      <c r="B82" s="1" t="s">
        <v>508</v>
      </c>
      <c r="C82" s="1" t="s">
        <v>509</v>
      </c>
      <c r="D82" s="1" t="s">
        <v>510</v>
      </c>
      <c r="E82" s="1" t="s">
        <v>511</v>
      </c>
      <c r="F82" s="1" t="s">
        <v>61</v>
      </c>
      <c r="G82" s="1" t="s">
        <v>322</v>
      </c>
      <c r="H82" s="1" t="s">
        <v>512</v>
      </c>
      <c r="I82" s="1" t="s">
        <v>63</v>
      </c>
      <c r="J82" s="1" t="s">
        <v>513</v>
      </c>
      <c r="K82" s="56">
        <f t="shared" ca="1" si="2"/>
        <v>37</v>
      </c>
      <c r="L82" s="79" t="str">
        <f ca="1">_xlfn.XLOOKUP(K82,'Age Range'!A:A,'Age Range'!B:B)</f>
        <v>30-39</v>
      </c>
      <c r="M82" s="8" t="s">
        <v>514</v>
      </c>
      <c r="N82" s="56">
        <f t="shared" ca="1" si="3"/>
        <v>22</v>
      </c>
      <c r="O82" s="79" t="str">
        <f ca="1">_xlfn.XLOOKUP(N82,'LOS Range'!A:A,'LOS Range'!B:B)</f>
        <v>Above 20 years</v>
      </c>
      <c r="P82" s="1" t="s">
        <v>28</v>
      </c>
      <c r="Q82" s="1" t="s">
        <v>29</v>
      </c>
      <c r="R82" s="2">
        <v>457831.74</v>
      </c>
      <c r="S82" s="1">
        <v>32</v>
      </c>
    </row>
    <row r="83" spans="1:19" s="3" customFormat="1" x14ac:dyDescent="0.2">
      <c r="A83" s="1">
        <v>82</v>
      </c>
      <c r="B83" s="1" t="s">
        <v>515</v>
      </c>
      <c r="C83" s="1" t="s">
        <v>516</v>
      </c>
      <c r="D83" s="1" t="s">
        <v>517</v>
      </c>
      <c r="E83" s="1" t="s">
        <v>518</v>
      </c>
      <c r="F83" s="1" t="s">
        <v>42</v>
      </c>
      <c r="G83" s="1" t="s">
        <v>322</v>
      </c>
      <c r="H83" s="1" t="s">
        <v>519</v>
      </c>
      <c r="I83" s="1" t="s">
        <v>25</v>
      </c>
      <c r="J83" s="1" t="s">
        <v>520</v>
      </c>
      <c r="K83" s="56">
        <f t="shared" ca="1" si="2"/>
        <v>34</v>
      </c>
      <c r="L83" s="79" t="str">
        <f ca="1">_xlfn.XLOOKUP(K83,'Age Range'!A:A,'Age Range'!B:B)</f>
        <v>30-39</v>
      </c>
      <c r="M83" s="8" t="s">
        <v>521</v>
      </c>
      <c r="N83" s="56">
        <f t="shared" ca="1" si="3"/>
        <v>34</v>
      </c>
      <c r="O83" s="79" t="e">
        <f ca="1">_xlfn.XLOOKUP(N83,'LOS Range'!A:A,'LOS Range'!B:B)</f>
        <v>#N/A</v>
      </c>
      <c r="P83" s="1" t="s">
        <v>28</v>
      </c>
      <c r="Q83" s="1" t="s">
        <v>29</v>
      </c>
      <c r="R83" s="2">
        <v>541384.56000000006</v>
      </c>
      <c r="S83" s="1">
        <v>33</v>
      </c>
    </row>
    <row r="84" spans="1:19" s="3" customFormat="1" x14ac:dyDescent="0.2">
      <c r="A84" s="1">
        <v>83</v>
      </c>
      <c r="B84" s="1" t="s">
        <v>522</v>
      </c>
      <c r="C84" s="1" t="s">
        <v>523</v>
      </c>
      <c r="D84" s="1" t="s">
        <v>524</v>
      </c>
      <c r="E84" s="1" t="s">
        <v>255</v>
      </c>
      <c r="F84" s="1" t="s">
        <v>42</v>
      </c>
      <c r="G84" s="1" t="s">
        <v>525</v>
      </c>
      <c r="H84" s="12" t="s">
        <v>526</v>
      </c>
      <c r="I84" s="1" t="s">
        <v>63</v>
      </c>
      <c r="J84" s="1" t="s">
        <v>527</v>
      </c>
      <c r="K84" s="56">
        <f t="shared" ca="1" si="2"/>
        <v>36</v>
      </c>
      <c r="L84" s="79" t="str">
        <f ca="1">_xlfn.XLOOKUP(K84,'Age Range'!A:A,'Age Range'!B:B)</f>
        <v>30-39</v>
      </c>
      <c r="M84" s="8" t="s">
        <v>528</v>
      </c>
      <c r="N84" s="56">
        <f t="shared" ca="1" si="3"/>
        <v>20</v>
      </c>
      <c r="O84" s="79" t="str">
        <f ca="1">_xlfn.XLOOKUP(N84,'LOS Range'!A:A,'LOS Range'!B:B)</f>
        <v>Above 20 years</v>
      </c>
      <c r="P84" s="12" t="s">
        <v>28</v>
      </c>
      <c r="Q84" s="1" t="s">
        <v>29</v>
      </c>
      <c r="R84" s="2">
        <v>649095.81000000006</v>
      </c>
      <c r="S84" s="1">
        <v>34</v>
      </c>
    </row>
    <row r="85" spans="1:19" s="3" customFormat="1" x14ac:dyDescent="0.2">
      <c r="A85" s="1">
        <v>84</v>
      </c>
      <c r="B85" s="1" t="s">
        <v>529</v>
      </c>
      <c r="C85" s="1" t="s">
        <v>530</v>
      </c>
      <c r="D85" s="1" t="s">
        <v>531</v>
      </c>
      <c r="E85" s="1" t="s">
        <v>297</v>
      </c>
      <c r="F85" s="1" t="s">
        <v>42</v>
      </c>
      <c r="G85" s="1" t="s">
        <v>336</v>
      </c>
      <c r="H85" s="1" t="s">
        <v>532</v>
      </c>
      <c r="I85" s="1" t="s">
        <v>25</v>
      </c>
      <c r="J85" s="1" t="s">
        <v>533</v>
      </c>
      <c r="K85" s="56">
        <f t="shared" ca="1" si="2"/>
        <v>33</v>
      </c>
      <c r="L85" s="79" t="str">
        <f ca="1">_xlfn.XLOOKUP(K85,'Age Range'!A:A,'Age Range'!B:B)</f>
        <v>30-39</v>
      </c>
      <c r="M85" s="8" t="s">
        <v>534</v>
      </c>
      <c r="N85" s="56">
        <f t="shared" ca="1" si="3"/>
        <v>22</v>
      </c>
      <c r="O85" s="79" t="str">
        <f ca="1">_xlfn.XLOOKUP(N85,'LOS Range'!A:A,'LOS Range'!B:B)</f>
        <v>Above 20 years</v>
      </c>
      <c r="P85" s="1" t="s">
        <v>28</v>
      </c>
      <c r="Q85" s="1" t="s">
        <v>29</v>
      </c>
      <c r="R85" s="2">
        <v>543321.32999999996</v>
      </c>
      <c r="S85" s="1">
        <v>35</v>
      </c>
    </row>
    <row r="86" spans="1:19" s="3" customFormat="1" x14ac:dyDescent="0.2">
      <c r="A86" s="1">
        <v>85</v>
      </c>
      <c r="B86" s="1" t="s">
        <v>535</v>
      </c>
      <c r="C86" s="1" t="s">
        <v>536</v>
      </c>
      <c r="D86" s="1" t="s">
        <v>537</v>
      </c>
      <c r="E86" s="1" t="s">
        <v>538</v>
      </c>
      <c r="F86" s="1" t="s">
        <v>42</v>
      </c>
      <c r="G86" s="1" t="s">
        <v>78</v>
      </c>
      <c r="H86" s="1" t="s">
        <v>539</v>
      </c>
      <c r="I86" s="1" t="s">
        <v>63</v>
      </c>
      <c r="J86" s="1" t="s">
        <v>540</v>
      </c>
      <c r="K86" s="56">
        <f t="shared" ca="1" si="2"/>
        <v>39</v>
      </c>
      <c r="L86" s="79" t="str">
        <f ca="1">_xlfn.XLOOKUP(K86,'Age Range'!A:A,'Age Range'!B:B)</f>
        <v>30-39</v>
      </c>
      <c r="M86" s="8" t="s">
        <v>46</v>
      </c>
      <c r="N86" s="56">
        <f t="shared" ca="1" si="3"/>
        <v>17</v>
      </c>
      <c r="O86" s="79" t="str">
        <f ca="1">_xlfn.XLOOKUP(N86,'LOS Range'!A:A,'LOS Range'!B:B)</f>
        <v>15 - 19 years</v>
      </c>
      <c r="P86" s="1" t="s">
        <v>28</v>
      </c>
      <c r="Q86" s="1" t="s">
        <v>29</v>
      </c>
      <c r="R86" s="2">
        <v>528104.46</v>
      </c>
      <c r="S86" s="1">
        <v>90</v>
      </c>
    </row>
    <row r="87" spans="1:19" s="3" customFormat="1" x14ac:dyDescent="0.2">
      <c r="A87" s="1">
        <v>86</v>
      </c>
      <c r="B87" s="1" t="s">
        <v>541</v>
      </c>
      <c r="C87" s="1" t="s">
        <v>542</v>
      </c>
      <c r="D87" s="1" t="s">
        <v>543</v>
      </c>
      <c r="E87" s="1" t="s">
        <v>172</v>
      </c>
      <c r="F87" s="1" t="s">
        <v>61</v>
      </c>
      <c r="G87" s="1" t="s">
        <v>221</v>
      </c>
      <c r="H87" s="1" t="s">
        <v>544</v>
      </c>
      <c r="I87" s="1" t="s">
        <v>25</v>
      </c>
      <c r="J87" s="1" t="s">
        <v>545</v>
      </c>
      <c r="K87" s="56">
        <f t="shared" ca="1" si="2"/>
        <v>37</v>
      </c>
      <c r="L87" s="79" t="str">
        <f ca="1">_xlfn.XLOOKUP(K87,'Age Range'!A:A,'Age Range'!B:B)</f>
        <v>30-39</v>
      </c>
      <c r="M87" s="8" t="s">
        <v>546</v>
      </c>
      <c r="N87" s="56">
        <f t="shared" ca="1" si="3"/>
        <v>18</v>
      </c>
      <c r="O87" s="79" t="str">
        <f ca="1">_xlfn.XLOOKUP(N87,'LOS Range'!A:A,'LOS Range'!B:B)</f>
        <v>15 - 19 years</v>
      </c>
      <c r="P87" s="1" t="s">
        <v>28</v>
      </c>
      <c r="Q87" s="1" t="s">
        <v>29</v>
      </c>
      <c r="R87" s="2">
        <v>528104.46</v>
      </c>
      <c r="S87" s="1">
        <v>91</v>
      </c>
    </row>
    <row r="88" spans="1:19" s="3" customFormat="1" x14ac:dyDescent="0.2">
      <c r="A88" s="1">
        <v>87</v>
      </c>
      <c r="B88" s="1" t="s">
        <v>547</v>
      </c>
      <c r="C88" s="1" t="s">
        <v>548</v>
      </c>
      <c r="D88" s="1" t="s">
        <v>549</v>
      </c>
      <c r="E88" s="1" t="s">
        <v>550</v>
      </c>
      <c r="F88" s="1" t="s">
        <v>42</v>
      </c>
      <c r="G88" s="1" t="s">
        <v>336</v>
      </c>
      <c r="H88" s="1" t="s">
        <v>532</v>
      </c>
      <c r="I88" s="1" t="s">
        <v>63</v>
      </c>
      <c r="J88" s="1" t="s">
        <v>551</v>
      </c>
      <c r="K88" s="56">
        <f t="shared" ca="1" si="2"/>
        <v>34</v>
      </c>
      <c r="L88" s="79" t="str">
        <f ca="1">_xlfn.XLOOKUP(K88,'Age Range'!A:A,'Age Range'!B:B)</f>
        <v>30-39</v>
      </c>
      <c r="M88" s="8" t="s">
        <v>552</v>
      </c>
      <c r="N88" s="56">
        <f t="shared" ca="1" si="3"/>
        <v>19</v>
      </c>
      <c r="O88" s="79" t="str">
        <f ca="1">_xlfn.XLOOKUP(N88,'LOS Range'!A:A,'LOS Range'!B:B)</f>
        <v>15 - 19 years</v>
      </c>
      <c r="P88" s="1" t="s">
        <v>56</v>
      </c>
      <c r="Q88" s="1" t="s">
        <v>29</v>
      </c>
      <c r="R88" s="2">
        <v>932678.1</v>
      </c>
      <c r="S88" s="1">
        <v>92</v>
      </c>
    </row>
    <row r="89" spans="1:19" s="3" customFormat="1" x14ac:dyDescent="0.2">
      <c r="A89" s="1">
        <v>88</v>
      </c>
      <c r="B89" s="1" t="s">
        <v>553</v>
      </c>
      <c r="C89" s="1" t="s">
        <v>554</v>
      </c>
      <c r="D89" s="1" t="s">
        <v>555</v>
      </c>
      <c r="E89" s="1" t="s">
        <v>556</v>
      </c>
      <c r="F89" s="1" t="s">
        <v>61</v>
      </c>
      <c r="G89" s="1" t="s">
        <v>557</v>
      </c>
      <c r="H89" s="1" t="s">
        <v>558</v>
      </c>
      <c r="I89" s="1" t="s">
        <v>25</v>
      </c>
      <c r="J89" s="1" t="s">
        <v>559</v>
      </c>
      <c r="K89" s="56">
        <f t="shared" ca="1" si="2"/>
        <v>36</v>
      </c>
      <c r="L89" s="79" t="str">
        <f ca="1">_xlfn.XLOOKUP(K89,'Age Range'!A:A,'Age Range'!B:B)</f>
        <v>30-39</v>
      </c>
      <c r="M89" s="8" t="s">
        <v>560</v>
      </c>
      <c r="N89" s="56">
        <f t="shared" ca="1" si="3"/>
        <v>21</v>
      </c>
      <c r="O89" s="79" t="str">
        <f ca="1">_xlfn.XLOOKUP(N89,'LOS Range'!A:A,'LOS Range'!B:B)</f>
        <v>Above 20 years</v>
      </c>
      <c r="P89" s="1" t="s">
        <v>28</v>
      </c>
      <c r="Q89" s="1" t="s">
        <v>561</v>
      </c>
      <c r="R89" s="10">
        <v>707661.61919999996</v>
      </c>
      <c r="S89" s="1">
        <v>93</v>
      </c>
    </row>
    <row r="90" spans="1:19" s="3" customFormat="1" x14ac:dyDescent="0.2">
      <c r="A90" s="1">
        <v>89</v>
      </c>
      <c r="B90" s="1" t="s">
        <v>562</v>
      </c>
      <c r="C90" s="1" t="s">
        <v>563</v>
      </c>
      <c r="D90" s="1" t="s">
        <v>564</v>
      </c>
      <c r="E90" s="1" t="s">
        <v>565</v>
      </c>
      <c r="F90" s="1" t="s">
        <v>61</v>
      </c>
      <c r="G90" s="1" t="s">
        <v>78</v>
      </c>
      <c r="H90" s="1" t="s">
        <v>566</v>
      </c>
      <c r="I90" s="1" t="s">
        <v>63</v>
      </c>
      <c r="J90" s="1" t="s">
        <v>567</v>
      </c>
      <c r="K90" s="56">
        <f t="shared" ca="1" si="2"/>
        <v>28</v>
      </c>
      <c r="L90" s="79" t="str">
        <f ca="1">_xlfn.XLOOKUP(K90,'Age Range'!A:A,'Age Range'!B:B)</f>
        <v>20-29</v>
      </c>
      <c r="M90" s="8" t="s">
        <v>568</v>
      </c>
      <c r="N90" s="56">
        <f t="shared" ca="1" si="3"/>
        <v>23</v>
      </c>
      <c r="O90" s="79" t="str">
        <f ca="1">_xlfn.XLOOKUP(N90,'LOS Range'!A:A,'LOS Range'!B:B)</f>
        <v>Above 20 years</v>
      </c>
      <c r="P90" s="1" t="s">
        <v>28</v>
      </c>
      <c r="Q90" s="1" t="s">
        <v>561</v>
      </c>
      <c r="R90" s="2">
        <v>467235.33058435429</v>
      </c>
      <c r="S90" s="1">
        <v>94</v>
      </c>
    </row>
    <row r="91" spans="1:19" s="3" customFormat="1" x14ac:dyDescent="0.2">
      <c r="A91" s="1">
        <v>90</v>
      </c>
      <c r="B91" s="1" t="s">
        <v>569</v>
      </c>
      <c r="C91" s="1" t="s">
        <v>570</v>
      </c>
      <c r="D91" s="1" t="s">
        <v>92</v>
      </c>
      <c r="E91" s="1" t="s">
        <v>571</v>
      </c>
      <c r="F91" s="1" t="s">
        <v>42</v>
      </c>
      <c r="G91" s="1" t="s">
        <v>572</v>
      </c>
      <c r="H91" s="1" t="s">
        <v>573</v>
      </c>
      <c r="I91" s="1" t="s">
        <v>25</v>
      </c>
      <c r="J91" s="1" t="s">
        <v>574</v>
      </c>
      <c r="K91" s="56">
        <f t="shared" ca="1" si="2"/>
        <v>40</v>
      </c>
      <c r="L91" s="79" t="str">
        <f ca="1">_xlfn.XLOOKUP(K91,'Age Range'!A:A,'Age Range'!B:B)</f>
        <v>40-49</v>
      </c>
      <c r="M91" s="8" t="s">
        <v>575</v>
      </c>
      <c r="N91" s="56">
        <f t="shared" ca="1" si="3"/>
        <v>14</v>
      </c>
      <c r="O91" s="79" t="str">
        <f ca="1">_xlfn.XLOOKUP(N91,'LOS Range'!A:A,'LOS Range'!B:B)</f>
        <v>10 - 14 years</v>
      </c>
      <c r="P91" s="1" t="s">
        <v>121</v>
      </c>
      <c r="Q91" s="1" t="s">
        <v>561</v>
      </c>
      <c r="R91" s="2">
        <v>880452.3</v>
      </c>
      <c r="S91" s="1">
        <v>95</v>
      </c>
    </row>
    <row r="92" spans="1:19" s="3" customFormat="1" x14ac:dyDescent="0.2">
      <c r="A92" s="1">
        <v>91</v>
      </c>
      <c r="B92" s="1" t="s">
        <v>576</v>
      </c>
      <c r="C92" s="1" t="s">
        <v>577</v>
      </c>
      <c r="D92" s="1" t="s">
        <v>578</v>
      </c>
      <c r="E92" s="1" t="s">
        <v>579</v>
      </c>
      <c r="F92" s="1" t="s">
        <v>61</v>
      </c>
      <c r="G92" s="1" t="s">
        <v>78</v>
      </c>
      <c r="H92" s="1" t="s">
        <v>580</v>
      </c>
      <c r="I92" s="1" t="s">
        <v>63</v>
      </c>
      <c r="J92" s="1" t="s">
        <v>581</v>
      </c>
      <c r="K92" s="56">
        <f t="shared" ca="1" si="2"/>
        <v>32</v>
      </c>
      <c r="L92" s="79" t="str">
        <f ca="1">_xlfn.XLOOKUP(K92,'Age Range'!A:A,'Age Range'!B:B)</f>
        <v>30-39</v>
      </c>
      <c r="M92" s="8" t="s">
        <v>305</v>
      </c>
      <c r="N92" s="56">
        <f t="shared" ca="1" si="3"/>
        <v>16</v>
      </c>
      <c r="O92" s="79" t="str">
        <f ca="1">_xlfn.XLOOKUP(N92,'LOS Range'!A:A,'LOS Range'!B:B)</f>
        <v>15 - 19 years</v>
      </c>
      <c r="P92" s="1" t="s">
        <v>28</v>
      </c>
      <c r="Q92" s="1" t="s">
        <v>561</v>
      </c>
      <c r="R92" s="2">
        <v>768072.24</v>
      </c>
      <c r="S92" s="1">
        <v>80</v>
      </c>
    </row>
    <row r="93" spans="1:19" s="3" customFormat="1" x14ac:dyDescent="0.2">
      <c r="A93" s="1">
        <v>92</v>
      </c>
      <c r="B93" s="1" t="s">
        <v>582</v>
      </c>
      <c r="C93" s="1" t="s">
        <v>583</v>
      </c>
      <c r="D93" s="1" t="s">
        <v>584</v>
      </c>
      <c r="E93" s="1" t="s">
        <v>585</v>
      </c>
      <c r="F93" s="1" t="s">
        <v>61</v>
      </c>
      <c r="G93" s="1" t="s">
        <v>78</v>
      </c>
      <c r="H93" s="1" t="s">
        <v>586</v>
      </c>
      <c r="I93" s="1" t="s">
        <v>25</v>
      </c>
      <c r="J93" s="1" t="s">
        <v>587</v>
      </c>
      <c r="K93" s="56">
        <f t="shared" ca="1" si="2"/>
        <v>23</v>
      </c>
      <c r="L93" s="79" t="str">
        <f ca="1">_xlfn.XLOOKUP(K93,'Age Range'!A:A,'Age Range'!B:B)</f>
        <v>20-29</v>
      </c>
      <c r="M93" s="8" t="s">
        <v>588</v>
      </c>
      <c r="N93" s="56">
        <f t="shared" ca="1" si="3"/>
        <v>12</v>
      </c>
      <c r="O93" s="79" t="str">
        <f ca="1">_xlfn.XLOOKUP(N93,'LOS Range'!A:A,'LOS Range'!B:B)</f>
        <v>10 - 14 years</v>
      </c>
      <c r="P93" s="1" t="s">
        <v>28</v>
      </c>
      <c r="Q93" s="1" t="s">
        <v>561</v>
      </c>
      <c r="R93" s="2">
        <v>437499.99</v>
      </c>
      <c r="S93" s="1">
        <v>81</v>
      </c>
    </row>
    <row r="94" spans="1:19" s="3" customFormat="1" x14ac:dyDescent="0.2">
      <c r="A94" s="1">
        <v>93</v>
      </c>
      <c r="B94" s="1" t="s">
        <v>589</v>
      </c>
      <c r="C94" s="1" t="s">
        <v>590</v>
      </c>
      <c r="D94" s="1" t="s">
        <v>584</v>
      </c>
      <c r="E94" s="1" t="s">
        <v>591</v>
      </c>
      <c r="F94" s="1" t="s">
        <v>42</v>
      </c>
      <c r="G94" s="1" t="s">
        <v>322</v>
      </c>
      <c r="H94" s="1" t="s">
        <v>519</v>
      </c>
      <c r="I94" s="1" t="s">
        <v>63</v>
      </c>
      <c r="J94" s="1" t="s">
        <v>592</v>
      </c>
      <c r="K94" s="56">
        <f t="shared" ca="1" si="2"/>
        <v>35</v>
      </c>
      <c r="L94" s="79" t="str">
        <f ca="1">_xlfn.XLOOKUP(K94,'Age Range'!A:A,'Age Range'!B:B)</f>
        <v>30-39</v>
      </c>
      <c r="M94" s="8" t="s">
        <v>593</v>
      </c>
      <c r="N94" s="56">
        <f t="shared" ca="1" si="3"/>
        <v>11</v>
      </c>
      <c r="O94" s="79" t="str">
        <f ca="1">_xlfn.XLOOKUP(N94,'LOS Range'!A:A,'LOS Range'!B:B)</f>
        <v>10 - 14 years</v>
      </c>
      <c r="P94" s="1" t="s">
        <v>28</v>
      </c>
      <c r="Q94" s="1" t="s">
        <v>561</v>
      </c>
      <c r="R94" s="2">
        <v>609327.99</v>
      </c>
      <c r="S94" s="1">
        <v>82</v>
      </c>
    </row>
    <row r="95" spans="1:19" s="3" customFormat="1" x14ac:dyDescent="0.2">
      <c r="A95" s="1">
        <v>94</v>
      </c>
      <c r="B95" s="1" t="s">
        <v>594</v>
      </c>
      <c r="C95" s="1" t="s">
        <v>595</v>
      </c>
      <c r="D95" s="1" t="s">
        <v>584</v>
      </c>
      <c r="E95" s="1" t="s">
        <v>596</v>
      </c>
      <c r="F95" s="1" t="s">
        <v>42</v>
      </c>
      <c r="G95" s="1" t="s">
        <v>221</v>
      </c>
      <c r="H95" s="1" t="s">
        <v>597</v>
      </c>
      <c r="I95" s="1" t="s">
        <v>25</v>
      </c>
      <c r="J95" s="1" t="s">
        <v>598</v>
      </c>
      <c r="K95" s="56">
        <f t="shared" ca="1" si="2"/>
        <v>42</v>
      </c>
      <c r="L95" s="79" t="str">
        <f ca="1">_xlfn.XLOOKUP(K95,'Age Range'!A:A,'Age Range'!B:B)</f>
        <v>40-49</v>
      </c>
      <c r="M95" s="8" t="s">
        <v>599</v>
      </c>
      <c r="N95" s="56">
        <f t="shared" ca="1" si="3"/>
        <v>21</v>
      </c>
      <c r="O95" s="79" t="str">
        <f ca="1">_xlfn.XLOOKUP(N95,'LOS Range'!A:A,'LOS Range'!B:B)</f>
        <v>Above 20 years</v>
      </c>
      <c r="P95" s="1" t="s">
        <v>185</v>
      </c>
      <c r="Q95" s="1" t="s">
        <v>561</v>
      </c>
      <c r="R95" s="2">
        <v>440935.89</v>
      </c>
      <c r="S95" s="1">
        <v>83</v>
      </c>
    </row>
    <row r="96" spans="1:19" s="3" customFormat="1" x14ac:dyDescent="0.2">
      <c r="A96" s="1">
        <v>95</v>
      </c>
      <c r="B96" s="1" t="s">
        <v>600</v>
      </c>
      <c r="C96" s="1" t="s">
        <v>601</v>
      </c>
      <c r="D96" s="1" t="s">
        <v>602</v>
      </c>
      <c r="E96" s="1" t="s">
        <v>603</v>
      </c>
      <c r="F96" s="1" t="s">
        <v>42</v>
      </c>
      <c r="G96" s="1" t="s">
        <v>52</v>
      </c>
      <c r="H96" s="1" t="s">
        <v>604</v>
      </c>
      <c r="I96" s="1" t="s">
        <v>63</v>
      </c>
      <c r="J96" s="1" t="s">
        <v>605</v>
      </c>
      <c r="K96" s="56">
        <f t="shared" ca="1" si="2"/>
        <v>48</v>
      </c>
      <c r="L96" s="79" t="str">
        <f ca="1">_xlfn.XLOOKUP(K96,'Age Range'!A:A,'Age Range'!B:B)</f>
        <v>40-49</v>
      </c>
      <c r="M96" s="8" t="s">
        <v>593</v>
      </c>
      <c r="N96" s="56">
        <f t="shared" ca="1" si="3"/>
        <v>11</v>
      </c>
      <c r="O96" s="79" t="str">
        <f ca="1">_xlfn.XLOOKUP(N96,'LOS Range'!A:A,'LOS Range'!B:B)</f>
        <v>10 - 14 years</v>
      </c>
      <c r="P96" s="1" t="s">
        <v>28</v>
      </c>
      <c r="Q96" s="1" t="s">
        <v>561</v>
      </c>
      <c r="R96" s="2">
        <v>510665.28</v>
      </c>
      <c r="S96" s="1">
        <v>84</v>
      </c>
    </row>
    <row r="97" spans="1:19" s="3" customFormat="1" x14ac:dyDescent="0.2">
      <c r="A97" s="1">
        <v>96</v>
      </c>
      <c r="B97" s="1" t="s">
        <v>606</v>
      </c>
      <c r="C97" s="1" t="s">
        <v>607</v>
      </c>
      <c r="D97" s="1" t="s">
        <v>608</v>
      </c>
      <c r="E97" s="1" t="s">
        <v>609</v>
      </c>
      <c r="F97" s="1" t="s">
        <v>34</v>
      </c>
      <c r="G97" s="1" t="s">
        <v>35</v>
      </c>
      <c r="H97" s="1" t="s">
        <v>610</v>
      </c>
      <c r="I97" s="1" t="s">
        <v>25</v>
      </c>
      <c r="J97" s="1" t="s">
        <v>611</v>
      </c>
      <c r="K97" s="56">
        <f t="shared" ca="1" si="2"/>
        <v>32</v>
      </c>
      <c r="L97" s="79" t="str">
        <f ca="1">_xlfn.XLOOKUP(K97,'Age Range'!A:A,'Age Range'!B:B)</f>
        <v>30-39</v>
      </c>
      <c r="M97" s="8" t="s">
        <v>612</v>
      </c>
      <c r="N97" s="56">
        <f t="shared" ca="1" si="3"/>
        <v>11</v>
      </c>
      <c r="O97" s="79" t="str">
        <f ca="1">_xlfn.XLOOKUP(N97,'LOS Range'!A:A,'LOS Range'!B:B)</f>
        <v>10 - 14 years</v>
      </c>
      <c r="P97" s="1" t="s">
        <v>613</v>
      </c>
      <c r="Q97" s="1" t="s">
        <v>561</v>
      </c>
      <c r="R97" s="2">
        <v>501429.81</v>
      </c>
      <c r="S97" s="1">
        <v>85</v>
      </c>
    </row>
    <row r="98" spans="1:19" s="3" customFormat="1" x14ac:dyDescent="0.2">
      <c r="A98" s="1">
        <v>97</v>
      </c>
      <c r="B98" s="1" t="s">
        <v>614</v>
      </c>
      <c r="C98" s="1" t="s">
        <v>615</v>
      </c>
      <c r="D98" s="1" t="s">
        <v>616</v>
      </c>
      <c r="E98" s="1" t="s">
        <v>608</v>
      </c>
      <c r="F98" s="1" t="s">
        <v>34</v>
      </c>
      <c r="G98" s="1" t="s">
        <v>35</v>
      </c>
      <c r="H98" s="1" t="s">
        <v>610</v>
      </c>
      <c r="I98" s="1" t="s">
        <v>63</v>
      </c>
      <c r="J98" s="1" t="s">
        <v>617</v>
      </c>
      <c r="K98" s="56">
        <f t="shared" ca="1" si="2"/>
        <v>46</v>
      </c>
      <c r="L98" s="79" t="str">
        <f ca="1">_xlfn.XLOOKUP(K98,'Age Range'!A:A,'Age Range'!B:B)</f>
        <v>40-49</v>
      </c>
      <c r="M98" s="8" t="s">
        <v>612</v>
      </c>
      <c r="N98" s="56">
        <f t="shared" ca="1" si="3"/>
        <v>11</v>
      </c>
      <c r="O98" s="79" t="str">
        <f ca="1">_xlfn.XLOOKUP(N98,'LOS Range'!A:A,'LOS Range'!B:B)</f>
        <v>10 - 14 years</v>
      </c>
      <c r="P98" s="1" t="s">
        <v>618</v>
      </c>
      <c r="Q98" s="1" t="s">
        <v>561</v>
      </c>
      <c r="R98" s="2">
        <v>675024.18</v>
      </c>
      <c r="S98" s="1">
        <v>70</v>
      </c>
    </row>
    <row r="99" spans="1:19" s="3" customFormat="1" x14ac:dyDescent="0.2">
      <c r="A99" s="1">
        <v>98</v>
      </c>
      <c r="B99" s="1" t="s">
        <v>619</v>
      </c>
      <c r="C99" s="1" t="s">
        <v>620</v>
      </c>
      <c r="D99" s="1" t="s">
        <v>621</v>
      </c>
      <c r="E99" s="1" t="s">
        <v>622</v>
      </c>
      <c r="F99" s="1" t="s">
        <v>34</v>
      </c>
      <c r="G99" s="1" t="s">
        <v>35</v>
      </c>
      <c r="H99" s="1" t="s">
        <v>610</v>
      </c>
      <c r="I99" s="1" t="s">
        <v>25</v>
      </c>
      <c r="J99" s="1" t="s">
        <v>623</v>
      </c>
      <c r="K99" s="56">
        <f t="shared" ca="1" si="2"/>
        <v>51</v>
      </c>
      <c r="L99" s="79" t="str">
        <f ca="1">_xlfn.XLOOKUP(K99,'Age Range'!A:A,'Age Range'!B:B)</f>
        <v>50-55</v>
      </c>
      <c r="M99" s="8" t="s">
        <v>624</v>
      </c>
      <c r="N99" s="56">
        <f t="shared" ca="1" si="3"/>
        <v>17</v>
      </c>
      <c r="O99" s="79" t="str">
        <f ca="1">_xlfn.XLOOKUP(N99,'LOS Range'!A:A,'LOS Range'!B:B)</f>
        <v>15 - 19 years</v>
      </c>
      <c r="P99" s="1" t="s">
        <v>28</v>
      </c>
      <c r="Q99" s="1" t="s">
        <v>561</v>
      </c>
      <c r="R99" s="2">
        <v>501429.81</v>
      </c>
      <c r="S99" s="1">
        <v>71</v>
      </c>
    </row>
    <row r="100" spans="1:19" s="3" customFormat="1" x14ac:dyDescent="0.2">
      <c r="A100" s="1">
        <v>99</v>
      </c>
      <c r="B100" s="1" t="s">
        <v>625</v>
      </c>
      <c r="C100" s="1" t="s">
        <v>626</v>
      </c>
      <c r="D100" s="1" t="s">
        <v>627</v>
      </c>
      <c r="E100" s="1" t="s">
        <v>628</v>
      </c>
      <c r="F100" s="1" t="s">
        <v>34</v>
      </c>
      <c r="G100" s="1" t="s">
        <v>629</v>
      </c>
      <c r="H100" s="1" t="s">
        <v>630</v>
      </c>
      <c r="I100" s="1" t="s">
        <v>63</v>
      </c>
      <c r="J100" s="1" t="s">
        <v>631</v>
      </c>
      <c r="K100" s="56">
        <f t="shared" ca="1" si="2"/>
        <v>26</v>
      </c>
      <c r="L100" s="79" t="str">
        <f ca="1">_xlfn.XLOOKUP(K100,'Age Range'!A:A,'Age Range'!B:B)</f>
        <v>20-29</v>
      </c>
      <c r="M100" s="8" t="s">
        <v>632</v>
      </c>
      <c r="N100" s="56">
        <f t="shared" ca="1" si="3"/>
        <v>23</v>
      </c>
      <c r="O100" s="79" t="str">
        <f ca="1">_xlfn.XLOOKUP(N100,'LOS Range'!A:A,'LOS Range'!B:B)</f>
        <v>Above 20 years</v>
      </c>
      <c r="P100" s="1" t="s">
        <v>28</v>
      </c>
      <c r="Q100" s="1" t="s">
        <v>561</v>
      </c>
      <c r="R100" s="2">
        <v>705478.89</v>
      </c>
      <c r="S100" s="1">
        <v>72</v>
      </c>
    </row>
    <row r="101" spans="1:19" s="3" customFormat="1" x14ac:dyDescent="0.2">
      <c r="A101" s="1">
        <v>100</v>
      </c>
      <c r="B101" s="1" t="s">
        <v>633</v>
      </c>
      <c r="C101" s="1" t="s">
        <v>634</v>
      </c>
      <c r="D101" s="1" t="s">
        <v>635</v>
      </c>
      <c r="E101" s="1" t="s">
        <v>636</v>
      </c>
      <c r="F101" s="1" t="s">
        <v>42</v>
      </c>
      <c r="G101" s="1" t="s">
        <v>322</v>
      </c>
      <c r="H101" s="1" t="s">
        <v>637</v>
      </c>
      <c r="I101" s="1" t="s">
        <v>25</v>
      </c>
      <c r="J101" s="1" t="s">
        <v>638</v>
      </c>
      <c r="K101" s="56">
        <f t="shared" ca="1" si="2"/>
        <v>35</v>
      </c>
      <c r="L101" s="79" t="str">
        <f ca="1">_xlfn.XLOOKUP(K101,'Age Range'!A:A,'Age Range'!B:B)</f>
        <v>30-39</v>
      </c>
      <c r="M101" s="8" t="s">
        <v>639</v>
      </c>
      <c r="N101" s="56">
        <f t="shared" ca="1" si="3"/>
        <v>18</v>
      </c>
      <c r="O101" s="79" t="str">
        <f ca="1">_xlfn.XLOOKUP(N101,'LOS Range'!A:A,'LOS Range'!B:B)</f>
        <v>15 - 19 years</v>
      </c>
      <c r="P101" s="1" t="s">
        <v>28</v>
      </c>
      <c r="Q101" s="1" t="s">
        <v>561</v>
      </c>
      <c r="R101" s="2">
        <v>940452.53</v>
      </c>
      <c r="S101" s="1">
        <v>73</v>
      </c>
    </row>
    <row r="102" spans="1:19" s="3" customFormat="1" x14ac:dyDescent="0.2">
      <c r="A102" s="1">
        <v>101</v>
      </c>
      <c r="B102" s="1" t="s">
        <v>640</v>
      </c>
      <c r="C102" s="1" t="s">
        <v>641</v>
      </c>
      <c r="D102" s="1" t="s">
        <v>642</v>
      </c>
      <c r="E102" s="1" t="s">
        <v>643</v>
      </c>
      <c r="F102" s="1" t="s">
        <v>42</v>
      </c>
      <c r="G102" s="1" t="s">
        <v>322</v>
      </c>
      <c r="H102" s="1" t="s">
        <v>644</v>
      </c>
      <c r="I102" s="1" t="s">
        <v>63</v>
      </c>
      <c r="J102" s="1" t="s">
        <v>645</v>
      </c>
      <c r="K102" s="56">
        <f t="shared" ca="1" si="2"/>
        <v>29</v>
      </c>
      <c r="L102" s="79" t="str">
        <f ca="1">_xlfn.XLOOKUP(K102,'Age Range'!A:A,'Age Range'!B:B)</f>
        <v>20-29</v>
      </c>
      <c r="M102" s="8" t="s">
        <v>646</v>
      </c>
      <c r="N102" s="56">
        <f t="shared" ca="1" si="3"/>
        <v>11</v>
      </c>
      <c r="O102" s="79" t="str">
        <f ca="1">_xlfn.XLOOKUP(N102,'LOS Range'!A:A,'LOS Range'!B:B)</f>
        <v>10 - 14 years</v>
      </c>
      <c r="P102" s="1" t="s">
        <v>618</v>
      </c>
      <c r="Q102" s="1" t="s">
        <v>561</v>
      </c>
      <c r="R102" s="2">
        <v>508980.51</v>
      </c>
      <c r="S102" s="1">
        <v>74</v>
      </c>
    </row>
    <row r="103" spans="1:19" s="3" customFormat="1" x14ac:dyDescent="0.2">
      <c r="A103" s="1">
        <v>102</v>
      </c>
      <c r="B103" s="1" t="s">
        <v>647</v>
      </c>
      <c r="C103" s="1" t="s">
        <v>648</v>
      </c>
      <c r="D103" s="1" t="s">
        <v>642</v>
      </c>
      <c r="E103" s="1" t="s">
        <v>649</v>
      </c>
      <c r="F103" s="1" t="s">
        <v>42</v>
      </c>
      <c r="G103" s="1" t="s">
        <v>557</v>
      </c>
      <c r="H103" s="1" t="s">
        <v>650</v>
      </c>
      <c r="I103" s="1" t="s">
        <v>25</v>
      </c>
      <c r="J103" s="1" t="s">
        <v>651</v>
      </c>
      <c r="K103" s="56">
        <f t="shared" ca="1" si="2"/>
        <v>27</v>
      </c>
      <c r="L103" s="79" t="str">
        <f ca="1">_xlfn.XLOOKUP(K103,'Age Range'!A:A,'Age Range'!B:B)</f>
        <v>20-29</v>
      </c>
      <c r="M103" s="8" t="s">
        <v>646</v>
      </c>
      <c r="N103" s="56">
        <f t="shared" ca="1" si="3"/>
        <v>11</v>
      </c>
      <c r="O103" s="79" t="str">
        <f ca="1">_xlfn.XLOOKUP(N103,'LOS Range'!A:A,'LOS Range'!B:B)</f>
        <v>10 - 14 years</v>
      </c>
      <c r="P103" s="1" t="s">
        <v>28</v>
      </c>
      <c r="Q103" s="1" t="s">
        <v>561</v>
      </c>
      <c r="R103" s="2">
        <v>662499.99</v>
      </c>
      <c r="S103" s="1">
        <v>75</v>
      </c>
    </row>
    <row r="104" spans="1:19" s="3" customFormat="1" x14ac:dyDescent="0.2">
      <c r="A104" s="1">
        <v>103</v>
      </c>
      <c r="B104" s="1" t="s">
        <v>652</v>
      </c>
      <c r="C104" s="1" t="s">
        <v>653</v>
      </c>
      <c r="D104" s="1" t="s">
        <v>654</v>
      </c>
      <c r="E104" s="1" t="s">
        <v>655</v>
      </c>
      <c r="F104" s="1" t="s">
        <v>42</v>
      </c>
      <c r="G104" s="1" t="s">
        <v>656</v>
      </c>
      <c r="H104" s="1" t="s">
        <v>657</v>
      </c>
      <c r="I104" s="1" t="s">
        <v>63</v>
      </c>
      <c r="J104" s="1" t="s">
        <v>658</v>
      </c>
      <c r="K104" s="56">
        <f t="shared" ca="1" si="2"/>
        <v>39</v>
      </c>
      <c r="L104" s="79" t="str">
        <f ca="1">_xlfn.XLOOKUP(K104,'Age Range'!A:A,'Age Range'!B:B)</f>
        <v>30-39</v>
      </c>
      <c r="M104" s="8" t="s">
        <v>659</v>
      </c>
      <c r="N104" s="56">
        <f t="shared" ca="1" si="3"/>
        <v>11</v>
      </c>
      <c r="O104" s="79" t="str">
        <f ca="1">_xlfn.XLOOKUP(N104,'LOS Range'!A:A,'LOS Range'!B:B)</f>
        <v>10 - 14 years</v>
      </c>
      <c r="P104" s="1" t="s">
        <v>618</v>
      </c>
      <c r="Q104" s="1" t="s">
        <v>561</v>
      </c>
      <c r="R104" s="2">
        <v>1293287.5874999999</v>
      </c>
      <c r="S104" s="1">
        <v>60</v>
      </c>
    </row>
    <row r="105" spans="1:19" s="3" customFormat="1" x14ac:dyDescent="0.2">
      <c r="A105" s="1">
        <v>104</v>
      </c>
      <c r="B105" s="1" t="s">
        <v>660</v>
      </c>
      <c r="C105" s="1" t="s">
        <v>661</v>
      </c>
      <c r="D105" s="1" t="s">
        <v>662</v>
      </c>
      <c r="E105" s="1" t="s">
        <v>663</v>
      </c>
      <c r="F105" s="1" t="s">
        <v>34</v>
      </c>
      <c r="G105" s="1" t="s">
        <v>350</v>
      </c>
      <c r="H105" s="1" t="s">
        <v>664</v>
      </c>
      <c r="I105" s="1" t="s">
        <v>25</v>
      </c>
      <c r="J105" s="1" t="s">
        <v>665</v>
      </c>
      <c r="K105" s="56">
        <f t="shared" ca="1" si="2"/>
        <v>31</v>
      </c>
      <c r="L105" s="79" t="str">
        <f ca="1">_xlfn.XLOOKUP(K105,'Age Range'!A:A,'Age Range'!B:B)</f>
        <v>30-39</v>
      </c>
      <c r="M105" s="8" t="s">
        <v>666</v>
      </c>
      <c r="N105" s="56">
        <f t="shared" ca="1" si="3"/>
        <v>11</v>
      </c>
      <c r="O105" s="79" t="str">
        <f ca="1">_xlfn.XLOOKUP(N105,'LOS Range'!A:A,'LOS Range'!B:B)</f>
        <v>10 - 14 years</v>
      </c>
      <c r="P105" s="1" t="s">
        <v>28</v>
      </c>
      <c r="Q105" s="1" t="s">
        <v>561</v>
      </c>
      <c r="R105" s="2">
        <v>1250000.01</v>
      </c>
      <c r="S105" s="1">
        <v>61</v>
      </c>
    </row>
    <row r="106" spans="1:19" s="3" customFormat="1" x14ac:dyDescent="0.2">
      <c r="A106" s="1">
        <v>105</v>
      </c>
      <c r="B106" s="1" t="s">
        <v>667</v>
      </c>
      <c r="C106" s="1" t="s">
        <v>668</v>
      </c>
      <c r="D106" s="1" t="s">
        <v>669</v>
      </c>
      <c r="E106" s="1" t="s">
        <v>670</v>
      </c>
      <c r="F106" s="1" t="s">
        <v>42</v>
      </c>
      <c r="G106" s="1" t="s">
        <v>671</v>
      </c>
      <c r="H106" s="1" t="s">
        <v>672</v>
      </c>
      <c r="I106" s="1" t="s">
        <v>63</v>
      </c>
      <c r="J106" s="1" t="s">
        <v>673</v>
      </c>
      <c r="K106" s="56">
        <f t="shared" ca="1" si="2"/>
        <v>33</v>
      </c>
      <c r="L106" s="79" t="str">
        <f ca="1">_xlfn.XLOOKUP(K106,'Age Range'!A:A,'Age Range'!B:B)</f>
        <v>30-39</v>
      </c>
      <c r="M106" s="8" t="s">
        <v>674</v>
      </c>
      <c r="N106" s="56">
        <f t="shared" ca="1" si="3"/>
        <v>13</v>
      </c>
      <c r="O106" s="79" t="str">
        <f ca="1">_xlfn.XLOOKUP(N106,'LOS Range'!A:A,'LOS Range'!B:B)</f>
        <v>10 - 14 years</v>
      </c>
      <c r="P106" s="1" t="s">
        <v>28</v>
      </c>
      <c r="Q106" s="1" t="s">
        <v>561</v>
      </c>
      <c r="R106" s="2">
        <v>508980</v>
      </c>
      <c r="S106" s="1">
        <v>62</v>
      </c>
    </row>
    <row r="107" spans="1:19" s="3" customFormat="1" x14ac:dyDescent="0.2">
      <c r="A107" s="1">
        <v>106</v>
      </c>
      <c r="B107" s="1" t="s">
        <v>675</v>
      </c>
      <c r="C107" s="1" t="s">
        <v>676</v>
      </c>
      <c r="D107" s="1" t="s">
        <v>669</v>
      </c>
      <c r="E107" s="1" t="s">
        <v>677</v>
      </c>
      <c r="F107" s="1" t="s">
        <v>42</v>
      </c>
      <c r="G107" s="1" t="s">
        <v>78</v>
      </c>
      <c r="H107" s="1" t="s">
        <v>678</v>
      </c>
      <c r="I107" s="1" t="s">
        <v>25</v>
      </c>
      <c r="J107" s="1" t="s">
        <v>679</v>
      </c>
      <c r="K107" s="56">
        <f t="shared" ca="1" si="2"/>
        <v>31</v>
      </c>
      <c r="L107" s="79" t="str">
        <f ca="1">_xlfn.XLOOKUP(K107,'Age Range'!A:A,'Age Range'!B:B)</f>
        <v>30-39</v>
      </c>
      <c r="M107" s="8" t="s">
        <v>680</v>
      </c>
      <c r="N107" s="56">
        <f t="shared" ca="1" si="3"/>
        <v>16</v>
      </c>
      <c r="O107" s="79" t="str">
        <f ca="1">_xlfn.XLOOKUP(N107,'LOS Range'!A:A,'LOS Range'!B:B)</f>
        <v>15 - 19 years</v>
      </c>
      <c r="P107" s="1" t="s">
        <v>28</v>
      </c>
      <c r="Q107" s="1" t="s">
        <v>561</v>
      </c>
      <c r="R107" s="2">
        <v>508980.51</v>
      </c>
      <c r="S107" s="1">
        <v>63</v>
      </c>
    </row>
    <row r="108" spans="1:19" s="3" customFormat="1" x14ac:dyDescent="0.2">
      <c r="A108" s="1">
        <v>107</v>
      </c>
      <c r="B108" s="1" t="s">
        <v>681</v>
      </c>
      <c r="C108" s="1" t="s">
        <v>682</v>
      </c>
      <c r="D108" s="1" t="s">
        <v>669</v>
      </c>
      <c r="E108" s="1" t="s">
        <v>683</v>
      </c>
      <c r="F108" s="1" t="s">
        <v>42</v>
      </c>
      <c r="G108" s="1" t="s">
        <v>78</v>
      </c>
      <c r="H108" s="13" t="s">
        <v>678</v>
      </c>
      <c r="I108" s="1" t="s">
        <v>63</v>
      </c>
      <c r="J108" s="1" t="s">
        <v>684</v>
      </c>
      <c r="K108" s="56">
        <f t="shared" ca="1" si="2"/>
        <v>42</v>
      </c>
      <c r="L108" s="79" t="str">
        <f ca="1">_xlfn.XLOOKUP(K108,'Age Range'!A:A,'Age Range'!B:B)</f>
        <v>40-49</v>
      </c>
      <c r="M108" s="8" t="s">
        <v>685</v>
      </c>
      <c r="N108" s="56">
        <f t="shared" ca="1" si="3"/>
        <v>10</v>
      </c>
      <c r="O108" s="79" t="str">
        <f ca="1">_xlfn.XLOOKUP(N108,'LOS Range'!A:A,'LOS Range'!B:B)</f>
        <v>10 - 14 years</v>
      </c>
      <c r="P108" s="13" t="s">
        <v>121</v>
      </c>
      <c r="Q108" s="1" t="s">
        <v>561</v>
      </c>
      <c r="R108" s="2">
        <v>712500</v>
      </c>
      <c r="S108" s="1">
        <v>64</v>
      </c>
    </row>
    <row r="109" spans="1:19" s="3" customFormat="1" x14ac:dyDescent="0.2">
      <c r="A109" s="1">
        <v>108</v>
      </c>
      <c r="B109" s="1" t="s">
        <v>686</v>
      </c>
      <c r="C109" s="1" t="s">
        <v>687</v>
      </c>
      <c r="D109" s="1" t="s">
        <v>688</v>
      </c>
      <c r="E109" s="1" t="s">
        <v>689</v>
      </c>
      <c r="F109" s="1" t="s">
        <v>42</v>
      </c>
      <c r="G109" s="1" t="s">
        <v>78</v>
      </c>
      <c r="H109" s="1" t="s">
        <v>678</v>
      </c>
      <c r="I109" s="1" t="s">
        <v>25</v>
      </c>
      <c r="J109" s="1" t="s">
        <v>690</v>
      </c>
      <c r="K109" s="56">
        <f t="shared" ca="1" si="2"/>
        <v>32</v>
      </c>
      <c r="L109" s="79" t="str">
        <f ca="1">_xlfn.XLOOKUP(K109,'Age Range'!A:A,'Age Range'!B:B)</f>
        <v>30-39</v>
      </c>
      <c r="M109" s="8" t="s">
        <v>691</v>
      </c>
      <c r="N109" s="56">
        <f t="shared" ca="1" si="3"/>
        <v>10</v>
      </c>
      <c r="O109" s="79" t="str">
        <f ca="1">_xlfn.XLOOKUP(N109,'LOS Range'!A:A,'LOS Range'!B:B)</f>
        <v>10 - 14 years</v>
      </c>
      <c r="P109" s="1" t="s">
        <v>28</v>
      </c>
      <c r="Q109" s="1" t="s">
        <v>561</v>
      </c>
      <c r="R109" s="2">
        <v>924999.99</v>
      </c>
      <c r="S109" s="1">
        <v>65</v>
      </c>
    </row>
    <row r="110" spans="1:19" s="3" customFormat="1" x14ac:dyDescent="0.2">
      <c r="A110" s="1">
        <v>109</v>
      </c>
      <c r="B110" s="1" t="s">
        <v>692</v>
      </c>
      <c r="C110" s="1" t="s">
        <v>693</v>
      </c>
      <c r="D110" s="1" t="s">
        <v>694</v>
      </c>
      <c r="E110" s="1" t="s">
        <v>695</v>
      </c>
      <c r="F110" s="1" t="s">
        <v>42</v>
      </c>
      <c r="G110" s="1" t="s">
        <v>78</v>
      </c>
      <c r="H110" s="1" t="s">
        <v>131</v>
      </c>
      <c r="I110" s="1" t="s">
        <v>63</v>
      </c>
      <c r="J110" s="1" t="s">
        <v>696</v>
      </c>
      <c r="K110" s="56">
        <f t="shared" ca="1" si="2"/>
        <v>35</v>
      </c>
      <c r="L110" s="79" t="str">
        <f ca="1">_xlfn.XLOOKUP(K110,'Age Range'!A:A,'Age Range'!B:B)</f>
        <v>30-39</v>
      </c>
      <c r="M110" s="8" t="s">
        <v>697</v>
      </c>
      <c r="N110" s="56">
        <f t="shared" ca="1" si="3"/>
        <v>10</v>
      </c>
      <c r="O110" s="79" t="str">
        <f ca="1">_xlfn.XLOOKUP(N110,'LOS Range'!A:A,'LOS Range'!B:B)</f>
        <v>10 - 14 years</v>
      </c>
      <c r="P110" s="1" t="s">
        <v>185</v>
      </c>
      <c r="Q110" s="1" t="s">
        <v>561</v>
      </c>
      <c r="R110" s="2">
        <v>1296616.92</v>
      </c>
      <c r="S110" s="1">
        <v>50</v>
      </c>
    </row>
    <row r="111" spans="1:19" s="3" customFormat="1" x14ac:dyDescent="0.2">
      <c r="A111" s="1">
        <v>110</v>
      </c>
      <c r="B111" s="1" t="s">
        <v>698</v>
      </c>
      <c r="C111" s="1" t="s">
        <v>699</v>
      </c>
      <c r="D111" s="1" t="s">
        <v>700</v>
      </c>
      <c r="E111" s="1" t="s">
        <v>701</v>
      </c>
      <c r="F111" s="1" t="s">
        <v>42</v>
      </c>
      <c r="G111" s="1" t="s">
        <v>78</v>
      </c>
      <c r="H111" s="1" t="s">
        <v>131</v>
      </c>
      <c r="I111" s="1" t="s">
        <v>25</v>
      </c>
      <c r="J111" s="1" t="s">
        <v>702</v>
      </c>
      <c r="K111" s="56">
        <f t="shared" ca="1" si="2"/>
        <v>31</v>
      </c>
      <c r="L111" s="79" t="str">
        <f ca="1">_xlfn.XLOOKUP(K111,'Age Range'!A:A,'Age Range'!B:B)</f>
        <v>30-39</v>
      </c>
      <c r="M111" s="8" t="s">
        <v>697</v>
      </c>
      <c r="N111" s="56">
        <f t="shared" ca="1" si="3"/>
        <v>10</v>
      </c>
      <c r="O111" s="79" t="str">
        <f ca="1">_xlfn.XLOOKUP(N111,'LOS Range'!A:A,'LOS Range'!B:B)</f>
        <v>10 - 14 years</v>
      </c>
      <c r="P111" s="1" t="s">
        <v>28</v>
      </c>
      <c r="Q111" s="1" t="s">
        <v>561</v>
      </c>
      <c r="R111" s="2">
        <v>573061.14</v>
      </c>
      <c r="S111" s="1">
        <v>51</v>
      </c>
    </row>
    <row r="112" spans="1:19" s="3" customFormat="1" x14ac:dyDescent="0.2">
      <c r="A112" s="1">
        <v>111</v>
      </c>
      <c r="B112" s="1" t="s">
        <v>703</v>
      </c>
      <c r="C112" s="1" t="s">
        <v>704</v>
      </c>
      <c r="D112" s="1" t="s">
        <v>705</v>
      </c>
      <c r="E112" s="1" t="s">
        <v>706</v>
      </c>
      <c r="F112" s="1" t="s">
        <v>42</v>
      </c>
      <c r="G112" s="1" t="s">
        <v>78</v>
      </c>
      <c r="H112" s="1" t="s">
        <v>539</v>
      </c>
      <c r="I112" s="1" t="s">
        <v>63</v>
      </c>
      <c r="J112" s="1" t="s">
        <v>707</v>
      </c>
      <c r="K112" s="56">
        <f t="shared" ca="1" si="2"/>
        <v>27</v>
      </c>
      <c r="L112" s="79" t="str">
        <f ca="1">_xlfn.XLOOKUP(K112,'Age Range'!A:A,'Age Range'!B:B)</f>
        <v>20-29</v>
      </c>
      <c r="M112" s="8" t="s">
        <v>697</v>
      </c>
      <c r="N112" s="56">
        <f t="shared" ca="1" si="3"/>
        <v>10</v>
      </c>
      <c r="O112" s="79" t="str">
        <f ca="1">_xlfn.XLOOKUP(N112,'LOS Range'!A:A,'LOS Range'!B:B)</f>
        <v>10 - 14 years</v>
      </c>
      <c r="P112" s="1" t="s">
        <v>99</v>
      </c>
      <c r="Q112" s="1" t="s">
        <v>561</v>
      </c>
      <c r="R112" s="2">
        <v>750000</v>
      </c>
      <c r="S112" s="1">
        <v>52</v>
      </c>
    </row>
    <row r="113" spans="1:19" s="3" customFormat="1" x14ac:dyDescent="0.2">
      <c r="A113" s="1">
        <v>112</v>
      </c>
      <c r="B113" s="1" t="s">
        <v>708</v>
      </c>
      <c r="C113" s="1" t="s">
        <v>709</v>
      </c>
      <c r="D113" s="1" t="s">
        <v>710</v>
      </c>
      <c r="E113" s="1" t="s">
        <v>711</v>
      </c>
      <c r="F113" s="1" t="s">
        <v>42</v>
      </c>
      <c r="G113" s="1" t="s">
        <v>78</v>
      </c>
      <c r="H113" s="1" t="s">
        <v>539</v>
      </c>
      <c r="I113" s="1" t="s">
        <v>25</v>
      </c>
      <c r="J113" s="1" t="s">
        <v>712</v>
      </c>
      <c r="K113" s="56">
        <f t="shared" ca="1" si="2"/>
        <v>39</v>
      </c>
      <c r="L113" s="79" t="str">
        <f ca="1">_xlfn.XLOOKUP(K113,'Age Range'!A:A,'Age Range'!B:B)</f>
        <v>30-39</v>
      </c>
      <c r="M113" s="8" t="s">
        <v>697</v>
      </c>
      <c r="N113" s="56">
        <f t="shared" ca="1" si="3"/>
        <v>10</v>
      </c>
      <c r="O113" s="79" t="str">
        <f ca="1">_xlfn.XLOOKUP(N113,'LOS Range'!A:A,'LOS Range'!B:B)</f>
        <v>10 - 14 years</v>
      </c>
      <c r="P113" s="1" t="s">
        <v>185</v>
      </c>
      <c r="Q113" s="1" t="s">
        <v>561</v>
      </c>
      <c r="R113" s="2">
        <v>899544.63</v>
      </c>
      <c r="S113" s="1">
        <v>53</v>
      </c>
    </row>
    <row r="114" spans="1:19" s="3" customFormat="1" x14ac:dyDescent="0.2">
      <c r="A114" s="1">
        <v>113</v>
      </c>
      <c r="B114" s="1" t="s">
        <v>713</v>
      </c>
      <c r="C114" s="1" t="s">
        <v>714</v>
      </c>
      <c r="D114" s="1" t="s">
        <v>715</v>
      </c>
      <c r="E114" s="1" t="s">
        <v>716</v>
      </c>
      <c r="F114" s="1" t="s">
        <v>42</v>
      </c>
      <c r="G114" s="1" t="s">
        <v>78</v>
      </c>
      <c r="H114" s="1" t="s">
        <v>539</v>
      </c>
      <c r="I114" s="1" t="s">
        <v>63</v>
      </c>
      <c r="J114" s="1" t="s">
        <v>717</v>
      </c>
      <c r="K114" s="56">
        <f t="shared" ca="1" si="2"/>
        <v>38</v>
      </c>
      <c r="L114" s="79" t="str">
        <f ca="1">_xlfn.XLOOKUP(K114,'Age Range'!A:A,'Age Range'!B:B)</f>
        <v>30-39</v>
      </c>
      <c r="M114" s="8" t="s">
        <v>697</v>
      </c>
      <c r="N114" s="56">
        <f t="shared" ca="1" si="3"/>
        <v>10</v>
      </c>
      <c r="O114" s="79" t="str">
        <f ca="1">_xlfn.XLOOKUP(N114,'LOS Range'!A:A,'LOS Range'!B:B)</f>
        <v>10 - 14 years</v>
      </c>
      <c r="P114" s="1" t="s">
        <v>718</v>
      </c>
      <c r="Q114" s="1" t="s">
        <v>561</v>
      </c>
      <c r="R114" s="2">
        <v>570921.72</v>
      </c>
      <c r="S114" s="1">
        <v>54</v>
      </c>
    </row>
    <row r="115" spans="1:19" s="3" customFormat="1" x14ac:dyDescent="0.2">
      <c r="A115" s="1">
        <v>114</v>
      </c>
      <c r="B115" s="1" t="s">
        <v>719</v>
      </c>
      <c r="C115" s="1" t="s">
        <v>720</v>
      </c>
      <c r="D115" s="1" t="s">
        <v>721</v>
      </c>
      <c r="E115" s="1" t="s">
        <v>722</v>
      </c>
      <c r="F115" s="1" t="s">
        <v>42</v>
      </c>
      <c r="G115" s="1" t="s">
        <v>78</v>
      </c>
      <c r="H115" s="1" t="s">
        <v>539</v>
      </c>
      <c r="I115" s="1" t="s">
        <v>25</v>
      </c>
      <c r="J115" s="1" t="s">
        <v>723</v>
      </c>
      <c r="K115" s="56">
        <f t="shared" ca="1" si="2"/>
        <v>36</v>
      </c>
      <c r="L115" s="79" t="str">
        <f ca="1">_xlfn.XLOOKUP(K115,'Age Range'!A:A,'Age Range'!B:B)</f>
        <v>30-39</v>
      </c>
      <c r="M115" s="8" t="s">
        <v>697</v>
      </c>
      <c r="N115" s="56">
        <f t="shared" ca="1" si="3"/>
        <v>10</v>
      </c>
      <c r="O115" s="79" t="str">
        <f ca="1">_xlfn.XLOOKUP(N115,'LOS Range'!A:A,'LOS Range'!B:B)</f>
        <v>10 - 14 years</v>
      </c>
      <c r="P115" s="1" t="s">
        <v>724</v>
      </c>
      <c r="Q115" s="1" t="s">
        <v>561</v>
      </c>
      <c r="R115" s="2">
        <v>1500000</v>
      </c>
      <c r="S115" s="1">
        <v>55</v>
      </c>
    </row>
    <row r="116" spans="1:19" s="3" customFormat="1" x14ac:dyDescent="0.2">
      <c r="A116" s="1">
        <v>115</v>
      </c>
      <c r="B116" s="1" t="s">
        <v>725</v>
      </c>
      <c r="C116" s="1" t="s">
        <v>726</v>
      </c>
      <c r="D116" s="1" t="s">
        <v>727</v>
      </c>
      <c r="E116" s="1" t="s">
        <v>728</v>
      </c>
      <c r="F116" s="1" t="s">
        <v>42</v>
      </c>
      <c r="G116" s="1" t="s">
        <v>78</v>
      </c>
      <c r="H116" s="1" t="s">
        <v>539</v>
      </c>
      <c r="I116" s="1" t="s">
        <v>63</v>
      </c>
      <c r="J116" s="1" t="s">
        <v>729</v>
      </c>
      <c r="K116" s="56">
        <f t="shared" ca="1" si="2"/>
        <v>37</v>
      </c>
      <c r="L116" s="79" t="str">
        <f ca="1">_xlfn.XLOOKUP(K116,'Age Range'!A:A,'Age Range'!B:B)</f>
        <v>30-39</v>
      </c>
      <c r="M116" s="8" t="s">
        <v>730</v>
      </c>
      <c r="N116" s="56">
        <f t="shared" ca="1" si="3"/>
        <v>10</v>
      </c>
      <c r="O116" s="79" t="str">
        <f ca="1">_xlfn.XLOOKUP(N116,'LOS Range'!A:A,'LOS Range'!B:B)</f>
        <v>10 - 14 years</v>
      </c>
      <c r="P116" s="1" t="s">
        <v>724</v>
      </c>
      <c r="Q116" s="1" t="s">
        <v>561</v>
      </c>
      <c r="R116" s="2">
        <v>1081829.73</v>
      </c>
      <c r="S116" s="1">
        <v>40</v>
      </c>
    </row>
    <row r="117" spans="1:19" s="3" customFormat="1" x14ac:dyDescent="0.2">
      <c r="A117" s="1">
        <v>116</v>
      </c>
      <c r="B117" s="1" t="s">
        <v>731</v>
      </c>
      <c r="C117" s="1" t="s">
        <v>732</v>
      </c>
      <c r="D117" s="1" t="s">
        <v>733</v>
      </c>
      <c r="E117" s="1" t="s">
        <v>706</v>
      </c>
      <c r="F117" s="1" t="s">
        <v>42</v>
      </c>
      <c r="G117" s="1" t="s">
        <v>78</v>
      </c>
      <c r="H117" s="1" t="s">
        <v>131</v>
      </c>
      <c r="I117" s="1" t="s">
        <v>25</v>
      </c>
      <c r="J117" s="1" t="s">
        <v>734</v>
      </c>
      <c r="K117" s="56">
        <f t="shared" ca="1" si="2"/>
        <v>25</v>
      </c>
      <c r="L117" s="79" t="str">
        <f ca="1">_xlfn.XLOOKUP(K117,'Age Range'!A:A,'Age Range'!B:B)</f>
        <v>20-29</v>
      </c>
      <c r="M117" s="8" t="s">
        <v>735</v>
      </c>
      <c r="N117" s="56">
        <f t="shared" ca="1" si="3"/>
        <v>10</v>
      </c>
      <c r="O117" s="79" t="str">
        <f ca="1">_xlfn.XLOOKUP(N117,'LOS Range'!A:A,'LOS Range'!B:B)</f>
        <v>10 - 14 years</v>
      </c>
      <c r="P117" s="1" t="s">
        <v>47</v>
      </c>
      <c r="Q117" s="1" t="s">
        <v>561</v>
      </c>
      <c r="R117" s="2">
        <v>672411.03</v>
      </c>
      <c r="S117" s="1">
        <v>41</v>
      </c>
    </row>
    <row r="118" spans="1:19" s="3" customFormat="1" x14ac:dyDescent="0.2">
      <c r="A118" s="1">
        <v>117</v>
      </c>
      <c r="B118" s="1" t="s">
        <v>736</v>
      </c>
      <c r="C118" s="1" t="s">
        <v>737</v>
      </c>
      <c r="D118" s="1" t="s">
        <v>738</v>
      </c>
      <c r="E118" s="1" t="s">
        <v>739</v>
      </c>
      <c r="F118" s="1" t="s">
        <v>42</v>
      </c>
      <c r="G118" s="1" t="s">
        <v>78</v>
      </c>
      <c r="H118" s="1" t="s">
        <v>131</v>
      </c>
      <c r="I118" s="1" t="s">
        <v>63</v>
      </c>
      <c r="J118" s="1" t="s">
        <v>740</v>
      </c>
      <c r="K118" s="56">
        <f t="shared" ca="1" si="2"/>
        <v>31</v>
      </c>
      <c r="L118" s="79" t="str">
        <f ca="1">_xlfn.XLOOKUP(K118,'Age Range'!A:A,'Age Range'!B:B)</f>
        <v>30-39</v>
      </c>
      <c r="M118" s="8" t="s">
        <v>741</v>
      </c>
      <c r="N118" s="56">
        <f t="shared" ca="1" si="3"/>
        <v>18</v>
      </c>
      <c r="O118" s="79" t="str">
        <f ca="1">_xlfn.XLOOKUP(N118,'LOS Range'!A:A,'LOS Range'!B:B)</f>
        <v>15 - 19 years</v>
      </c>
      <c r="P118" s="1" t="s">
        <v>28</v>
      </c>
      <c r="Q118" s="1" t="s">
        <v>561</v>
      </c>
      <c r="R118" s="2">
        <v>809363.61</v>
      </c>
      <c r="S118" s="1">
        <v>42</v>
      </c>
    </row>
    <row r="119" spans="1:19" s="3" customFormat="1" x14ac:dyDescent="0.2">
      <c r="A119" s="1">
        <v>118</v>
      </c>
      <c r="B119" s="1" t="s">
        <v>742</v>
      </c>
      <c r="C119" s="1" t="s">
        <v>743</v>
      </c>
      <c r="D119" s="1" t="s">
        <v>744</v>
      </c>
      <c r="E119" s="1" t="s">
        <v>745</v>
      </c>
      <c r="F119" s="1" t="s">
        <v>42</v>
      </c>
      <c r="G119" s="1" t="s">
        <v>78</v>
      </c>
      <c r="H119" s="1" t="s">
        <v>539</v>
      </c>
      <c r="I119" s="1" t="s">
        <v>25</v>
      </c>
      <c r="J119" s="1" t="s">
        <v>746</v>
      </c>
      <c r="K119" s="56">
        <f t="shared" ca="1" si="2"/>
        <v>28</v>
      </c>
      <c r="L119" s="79" t="str">
        <f ca="1">_xlfn.XLOOKUP(K119,'Age Range'!A:A,'Age Range'!B:B)</f>
        <v>20-29</v>
      </c>
      <c r="M119" s="8" t="s">
        <v>747</v>
      </c>
      <c r="N119" s="56">
        <f t="shared" ca="1" si="3"/>
        <v>19</v>
      </c>
      <c r="O119" s="79" t="str">
        <f ca="1">_xlfn.XLOOKUP(N119,'LOS Range'!A:A,'LOS Range'!B:B)</f>
        <v>15 - 19 years</v>
      </c>
      <c r="P119" s="1" t="s">
        <v>618</v>
      </c>
      <c r="Q119" s="1" t="s">
        <v>561</v>
      </c>
      <c r="R119" s="2">
        <v>594999.99</v>
      </c>
      <c r="S119" s="1">
        <v>43</v>
      </c>
    </row>
    <row r="120" spans="1:19" s="3" customFormat="1" x14ac:dyDescent="0.2">
      <c r="A120" s="1">
        <v>119</v>
      </c>
      <c r="B120" s="1" t="s">
        <v>748</v>
      </c>
      <c r="C120" s="1" t="s">
        <v>749</v>
      </c>
      <c r="D120" s="1" t="s">
        <v>750</v>
      </c>
      <c r="E120" s="1" t="s">
        <v>654</v>
      </c>
      <c r="F120" s="1" t="s">
        <v>61</v>
      </c>
      <c r="G120" s="1" t="s">
        <v>78</v>
      </c>
      <c r="H120" s="1" t="s">
        <v>539</v>
      </c>
      <c r="I120" s="1" t="s">
        <v>63</v>
      </c>
      <c r="J120" s="1" t="s">
        <v>751</v>
      </c>
      <c r="K120" s="56">
        <f t="shared" ca="1" si="2"/>
        <v>45</v>
      </c>
      <c r="L120" s="79" t="str">
        <f ca="1">_xlfn.XLOOKUP(K120,'Age Range'!A:A,'Age Range'!B:B)</f>
        <v>40-49</v>
      </c>
      <c r="M120" s="8" t="s">
        <v>588</v>
      </c>
      <c r="N120" s="56">
        <f t="shared" ca="1" si="3"/>
        <v>12</v>
      </c>
      <c r="O120" s="79" t="str">
        <f ca="1">_xlfn.XLOOKUP(N120,'LOS Range'!A:A,'LOS Range'!B:B)</f>
        <v>10 - 14 years</v>
      </c>
      <c r="P120" s="1" t="s">
        <v>28</v>
      </c>
      <c r="Q120" s="1" t="s">
        <v>561</v>
      </c>
      <c r="R120" s="2">
        <v>640043.76</v>
      </c>
      <c r="S120" s="1">
        <v>44</v>
      </c>
    </row>
    <row r="121" spans="1:19" s="3" customFormat="1" x14ac:dyDescent="0.2">
      <c r="A121" s="1">
        <v>120</v>
      </c>
      <c r="B121" s="1" t="s">
        <v>752</v>
      </c>
      <c r="C121" s="1" t="s">
        <v>753</v>
      </c>
      <c r="D121" s="1" t="s">
        <v>754</v>
      </c>
      <c r="E121" s="1" t="s">
        <v>755</v>
      </c>
      <c r="F121" s="1" t="s">
        <v>61</v>
      </c>
      <c r="G121" s="1" t="s">
        <v>78</v>
      </c>
      <c r="H121" s="1" t="s">
        <v>131</v>
      </c>
      <c r="I121" s="1" t="s">
        <v>25</v>
      </c>
      <c r="J121" s="1" t="s">
        <v>756</v>
      </c>
      <c r="K121" s="56">
        <f t="shared" ca="1" si="2"/>
        <v>27</v>
      </c>
      <c r="L121" s="79" t="str">
        <f ca="1">_xlfn.XLOOKUP(K121,'Age Range'!A:A,'Age Range'!B:B)</f>
        <v>20-29</v>
      </c>
      <c r="M121" s="8" t="s">
        <v>747</v>
      </c>
      <c r="N121" s="56">
        <f t="shared" ca="1" si="3"/>
        <v>19</v>
      </c>
      <c r="O121" s="79" t="str">
        <f ca="1">_xlfn.XLOOKUP(N121,'LOS Range'!A:A,'LOS Range'!B:B)</f>
        <v>15 - 19 years</v>
      </c>
      <c r="P121" s="1" t="s">
        <v>56</v>
      </c>
      <c r="Q121" s="1" t="s">
        <v>561</v>
      </c>
      <c r="R121" s="2">
        <v>930042.24</v>
      </c>
      <c r="S121" s="1">
        <v>45</v>
      </c>
    </row>
    <row r="122" spans="1:19" s="3" customFormat="1" x14ac:dyDescent="0.2">
      <c r="A122" s="1">
        <v>121</v>
      </c>
      <c r="B122" s="1" t="s">
        <v>757</v>
      </c>
      <c r="C122" s="1" t="s">
        <v>758</v>
      </c>
      <c r="D122" s="1" t="s">
        <v>759</v>
      </c>
      <c r="E122" s="1" t="s">
        <v>760</v>
      </c>
      <c r="F122" s="1" t="s">
        <v>61</v>
      </c>
      <c r="G122" s="1" t="s">
        <v>78</v>
      </c>
      <c r="H122" s="1" t="s">
        <v>678</v>
      </c>
      <c r="I122" s="1" t="s">
        <v>63</v>
      </c>
      <c r="J122" s="1" t="s">
        <v>761</v>
      </c>
      <c r="K122" s="56">
        <f t="shared" ca="1" si="2"/>
        <v>32</v>
      </c>
      <c r="L122" s="79" t="str">
        <f ca="1">_xlfn.XLOOKUP(K122,'Age Range'!A:A,'Age Range'!B:B)</f>
        <v>30-39</v>
      </c>
      <c r="M122" s="8" t="s">
        <v>747</v>
      </c>
      <c r="N122" s="56">
        <f t="shared" ca="1" si="3"/>
        <v>19</v>
      </c>
      <c r="O122" s="79" t="str">
        <f ca="1">_xlfn.XLOOKUP(N122,'LOS Range'!A:A,'LOS Range'!B:B)</f>
        <v>15 - 19 years</v>
      </c>
      <c r="P122" s="1" t="s">
        <v>56</v>
      </c>
      <c r="Q122" s="1" t="s">
        <v>561</v>
      </c>
      <c r="R122" s="2">
        <v>555137.49</v>
      </c>
      <c r="S122" s="1">
        <v>30</v>
      </c>
    </row>
    <row r="123" spans="1:19" s="3" customFormat="1" x14ac:dyDescent="0.2">
      <c r="A123" s="1">
        <v>122</v>
      </c>
      <c r="B123" s="1" t="s">
        <v>762</v>
      </c>
      <c r="C123" s="1" t="s">
        <v>763</v>
      </c>
      <c r="D123" s="1" t="s">
        <v>764</v>
      </c>
      <c r="E123" s="1" t="s">
        <v>765</v>
      </c>
      <c r="F123" s="1" t="s">
        <v>61</v>
      </c>
      <c r="G123" s="1" t="s">
        <v>78</v>
      </c>
      <c r="H123" s="1" t="s">
        <v>678</v>
      </c>
      <c r="I123" s="1" t="s">
        <v>25</v>
      </c>
      <c r="J123" s="1" t="s">
        <v>766</v>
      </c>
      <c r="K123" s="56">
        <f t="shared" ca="1" si="2"/>
        <v>29</v>
      </c>
      <c r="L123" s="79" t="str">
        <f ca="1">_xlfn.XLOOKUP(K123,'Age Range'!A:A,'Age Range'!B:B)</f>
        <v>20-29</v>
      </c>
      <c r="M123" s="8" t="s">
        <v>691</v>
      </c>
      <c r="N123" s="56">
        <f t="shared" ca="1" si="3"/>
        <v>10</v>
      </c>
      <c r="O123" s="79" t="str">
        <f ca="1">_xlfn.XLOOKUP(N123,'LOS Range'!A:A,'LOS Range'!B:B)</f>
        <v>10 - 14 years</v>
      </c>
      <c r="P123" s="1" t="s">
        <v>28</v>
      </c>
      <c r="Q123" s="1" t="s">
        <v>561</v>
      </c>
      <c r="R123" s="2">
        <v>525000</v>
      </c>
      <c r="S123" s="1">
        <v>31</v>
      </c>
    </row>
    <row r="124" spans="1:19" s="3" customFormat="1" x14ac:dyDescent="0.2">
      <c r="A124" s="1">
        <v>123</v>
      </c>
      <c r="B124" s="1" t="s">
        <v>767</v>
      </c>
      <c r="C124" s="1" t="s">
        <v>768</v>
      </c>
      <c r="D124" s="1" t="s">
        <v>769</v>
      </c>
      <c r="E124" s="1" t="s">
        <v>770</v>
      </c>
      <c r="F124" s="1" t="s">
        <v>34</v>
      </c>
      <c r="G124" s="1" t="s">
        <v>350</v>
      </c>
      <c r="H124" s="1" t="s">
        <v>771</v>
      </c>
      <c r="I124" s="1" t="s">
        <v>63</v>
      </c>
      <c r="J124" s="1" t="s">
        <v>772</v>
      </c>
      <c r="K124" s="56">
        <f t="shared" ca="1" si="2"/>
        <v>28</v>
      </c>
      <c r="L124" s="79" t="str">
        <f ca="1">_xlfn.XLOOKUP(K124,'Age Range'!A:A,'Age Range'!B:B)</f>
        <v>20-29</v>
      </c>
      <c r="M124" s="8" t="s">
        <v>773</v>
      </c>
      <c r="N124" s="56">
        <f t="shared" ca="1" si="3"/>
        <v>13</v>
      </c>
      <c r="O124" s="79" t="str">
        <f ca="1">_xlfn.XLOOKUP(N124,'LOS Range'!A:A,'LOS Range'!B:B)</f>
        <v>10 - 14 years</v>
      </c>
      <c r="P124" s="1" t="s">
        <v>28</v>
      </c>
      <c r="Q124" s="1" t="s">
        <v>561</v>
      </c>
      <c r="R124" s="2">
        <v>859553.89797360986</v>
      </c>
      <c r="S124" s="1">
        <v>32</v>
      </c>
    </row>
    <row r="125" spans="1:19" s="3" customFormat="1" x14ac:dyDescent="0.2">
      <c r="A125" s="1">
        <v>124</v>
      </c>
      <c r="B125" s="1" t="s">
        <v>774</v>
      </c>
      <c r="C125" s="1" t="s">
        <v>775</v>
      </c>
      <c r="D125" s="1" t="s">
        <v>776</v>
      </c>
      <c r="E125" s="1" t="s">
        <v>777</v>
      </c>
      <c r="F125" s="1" t="s">
        <v>42</v>
      </c>
      <c r="G125" s="1" t="s">
        <v>78</v>
      </c>
      <c r="H125" s="1" t="s">
        <v>492</v>
      </c>
      <c r="I125" s="1" t="s">
        <v>25</v>
      </c>
      <c r="J125" s="1" t="s">
        <v>778</v>
      </c>
      <c r="K125" s="56">
        <f t="shared" ca="1" si="2"/>
        <v>23</v>
      </c>
      <c r="L125" s="79" t="str">
        <f ca="1">_xlfn.XLOOKUP(K125,'Age Range'!A:A,'Age Range'!B:B)</f>
        <v>20-29</v>
      </c>
      <c r="M125" s="8" t="s">
        <v>779</v>
      </c>
      <c r="N125" s="56">
        <f t="shared" ca="1" si="3"/>
        <v>12</v>
      </c>
      <c r="O125" s="79" t="str">
        <f ca="1">_xlfn.XLOOKUP(N125,'LOS Range'!A:A,'LOS Range'!B:B)</f>
        <v>10 - 14 years</v>
      </c>
      <c r="P125" s="1" t="s">
        <v>121</v>
      </c>
      <c r="Q125" s="1" t="s">
        <v>561</v>
      </c>
      <c r="R125" s="2">
        <v>951730.80183789274</v>
      </c>
      <c r="S125" s="1">
        <v>33</v>
      </c>
    </row>
    <row r="126" spans="1:19" s="3" customFormat="1" x14ac:dyDescent="0.2">
      <c r="A126" s="1">
        <v>125</v>
      </c>
      <c r="B126" s="1" t="s">
        <v>780</v>
      </c>
      <c r="C126" s="1" t="s">
        <v>781</v>
      </c>
      <c r="D126" s="1" t="s">
        <v>782</v>
      </c>
      <c r="E126" s="1" t="s">
        <v>783</v>
      </c>
      <c r="F126" s="1" t="s">
        <v>42</v>
      </c>
      <c r="G126" s="1" t="s">
        <v>78</v>
      </c>
      <c r="H126" s="1" t="s">
        <v>492</v>
      </c>
      <c r="I126" s="1" t="s">
        <v>63</v>
      </c>
      <c r="J126" s="1" t="s">
        <v>784</v>
      </c>
      <c r="K126" s="56">
        <f t="shared" ca="1" si="2"/>
        <v>37</v>
      </c>
      <c r="L126" s="79" t="str">
        <f ca="1">_xlfn.XLOOKUP(K126,'Age Range'!A:A,'Age Range'!B:B)</f>
        <v>30-39</v>
      </c>
      <c r="M126" s="8" t="s">
        <v>779</v>
      </c>
      <c r="N126" s="56">
        <f t="shared" ca="1" si="3"/>
        <v>12</v>
      </c>
      <c r="O126" s="79" t="str">
        <f ca="1">_xlfn.XLOOKUP(N126,'LOS Range'!A:A,'LOS Range'!B:B)</f>
        <v>10 - 14 years</v>
      </c>
      <c r="P126" s="1" t="s">
        <v>246</v>
      </c>
      <c r="Q126" s="1" t="s">
        <v>561</v>
      </c>
      <c r="R126" s="2">
        <v>792682.73397737858</v>
      </c>
      <c r="S126" s="1">
        <v>34</v>
      </c>
    </row>
    <row r="127" spans="1:19" s="3" customFormat="1" x14ac:dyDescent="0.2">
      <c r="A127" s="1">
        <v>126</v>
      </c>
      <c r="B127" s="1" t="s">
        <v>785</v>
      </c>
      <c r="C127" s="1" t="s">
        <v>786</v>
      </c>
      <c r="D127" s="1" t="s">
        <v>787</v>
      </c>
      <c r="E127" s="1" t="s">
        <v>788</v>
      </c>
      <c r="F127" s="1" t="s">
        <v>42</v>
      </c>
      <c r="G127" s="1" t="s">
        <v>78</v>
      </c>
      <c r="H127" s="1" t="s">
        <v>492</v>
      </c>
      <c r="I127" s="1" t="s">
        <v>25</v>
      </c>
      <c r="J127" s="1" t="s">
        <v>789</v>
      </c>
      <c r="K127" s="56">
        <f t="shared" ca="1" si="2"/>
        <v>42</v>
      </c>
      <c r="L127" s="79" t="str">
        <f ca="1">_xlfn.XLOOKUP(K127,'Age Range'!A:A,'Age Range'!B:B)</f>
        <v>40-49</v>
      </c>
      <c r="M127" s="8" t="s">
        <v>790</v>
      </c>
      <c r="N127" s="56">
        <f t="shared" ca="1" si="3"/>
        <v>12</v>
      </c>
      <c r="O127" s="79" t="str">
        <f ca="1">_xlfn.XLOOKUP(N127,'LOS Range'!A:A,'LOS Range'!B:B)</f>
        <v>10 - 14 years</v>
      </c>
      <c r="P127" s="1" t="s">
        <v>28</v>
      </c>
      <c r="Q127" s="1" t="s">
        <v>561</v>
      </c>
      <c r="R127" s="2">
        <v>863370.76413760683</v>
      </c>
      <c r="S127" s="1">
        <v>35</v>
      </c>
    </row>
    <row r="128" spans="1:19" s="3" customFormat="1" x14ac:dyDescent="0.2">
      <c r="A128" s="1">
        <v>127</v>
      </c>
      <c r="B128" s="1" t="s">
        <v>791</v>
      </c>
      <c r="C128" s="1" t="s">
        <v>792</v>
      </c>
      <c r="D128" s="1" t="s">
        <v>793</v>
      </c>
      <c r="E128" s="1" t="s">
        <v>794</v>
      </c>
      <c r="F128" s="1" t="s">
        <v>42</v>
      </c>
      <c r="G128" s="1" t="s">
        <v>43</v>
      </c>
      <c r="H128" s="1" t="s">
        <v>795</v>
      </c>
      <c r="I128" s="1" t="s">
        <v>63</v>
      </c>
      <c r="J128" s="1" t="s">
        <v>796</v>
      </c>
      <c r="K128" s="56">
        <f t="shared" ca="1" si="2"/>
        <v>49</v>
      </c>
      <c r="L128" s="79" t="str">
        <f ca="1">_xlfn.XLOOKUP(K128,'Age Range'!A:A,'Age Range'!B:B)</f>
        <v>40-49</v>
      </c>
      <c r="M128" s="8" t="s">
        <v>797</v>
      </c>
      <c r="N128" s="56">
        <f t="shared" ca="1" si="3"/>
        <v>21</v>
      </c>
      <c r="O128" s="79" t="str">
        <f ca="1">_xlfn.XLOOKUP(N128,'LOS Range'!A:A,'LOS Range'!B:B)</f>
        <v>Above 20 years</v>
      </c>
      <c r="P128" s="1" t="s">
        <v>28</v>
      </c>
      <c r="Q128" s="1" t="s">
        <v>561</v>
      </c>
      <c r="R128" s="2">
        <v>957933.02249999996</v>
      </c>
      <c r="S128" s="1">
        <v>90</v>
      </c>
    </row>
    <row r="129" spans="1:19" s="3" customFormat="1" x14ac:dyDescent="0.2">
      <c r="A129" s="1">
        <v>128</v>
      </c>
      <c r="B129" s="1" t="s">
        <v>798</v>
      </c>
      <c r="C129" s="1" t="s">
        <v>799</v>
      </c>
      <c r="D129" s="1" t="s">
        <v>800</v>
      </c>
      <c r="E129" s="1" t="s">
        <v>801</v>
      </c>
      <c r="F129" s="1" t="s">
        <v>61</v>
      </c>
      <c r="G129" s="1" t="s">
        <v>322</v>
      </c>
      <c r="H129" s="1" t="s">
        <v>802</v>
      </c>
      <c r="I129" s="1" t="s">
        <v>25</v>
      </c>
      <c r="J129" s="1" t="s">
        <v>803</v>
      </c>
      <c r="K129" s="56">
        <f t="shared" ca="1" si="2"/>
        <v>37</v>
      </c>
      <c r="L129" s="79" t="str">
        <f ca="1">_xlfn.XLOOKUP(K129,'Age Range'!A:A,'Age Range'!B:B)</f>
        <v>30-39</v>
      </c>
      <c r="M129" s="8" t="s">
        <v>804</v>
      </c>
      <c r="N129" s="56">
        <f t="shared" ca="1" si="3"/>
        <v>18</v>
      </c>
      <c r="O129" s="79" t="str">
        <f ca="1">_xlfn.XLOOKUP(N129,'LOS Range'!A:A,'LOS Range'!B:B)</f>
        <v>15 - 19 years</v>
      </c>
      <c r="P129" s="1" t="s">
        <v>28</v>
      </c>
      <c r="Q129" s="1" t="s">
        <v>561</v>
      </c>
      <c r="R129" s="2">
        <v>927716.76</v>
      </c>
      <c r="S129" s="1">
        <v>91</v>
      </c>
    </row>
    <row r="130" spans="1:19" s="3" customFormat="1" x14ac:dyDescent="0.2">
      <c r="A130" s="1">
        <v>129</v>
      </c>
      <c r="B130" s="1" t="s">
        <v>805</v>
      </c>
      <c r="C130" s="1" t="s">
        <v>806</v>
      </c>
      <c r="D130" s="1" t="s">
        <v>807</v>
      </c>
      <c r="E130" s="1" t="s">
        <v>808</v>
      </c>
      <c r="F130" s="1" t="s">
        <v>61</v>
      </c>
      <c r="G130" s="1" t="s">
        <v>78</v>
      </c>
      <c r="H130" s="1" t="s">
        <v>809</v>
      </c>
      <c r="I130" s="1" t="s">
        <v>63</v>
      </c>
      <c r="J130" s="1" t="s">
        <v>810</v>
      </c>
      <c r="K130" s="56">
        <f t="shared" ref="K130:K193" ca="1" si="4">ROUNDDOWN((TODAY()-J130)/365,0)</f>
        <v>30</v>
      </c>
      <c r="L130" s="79" t="str">
        <f ca="1">_xlfn.XLOOKUP(K130,'Age Range'!A:A,'Age Range'!B:B)</f>
        <v>30-39</v>
      </c>
      <c r="M130" s="8" t="s">
        <v>811</v>
      </c>
      <c r="N130" s="56">
        <f t="shared" ref="N130:N193" ca="1" si="5">ROUNDDOWN((TODAY()-M130)/365,0)</f>
        <v>13</v>
      </c>
      <c r="O130" s="79" t="str">
        <f ca="1">_xlfn.XLOOKUP(N130,'LOS Range'!A:A,'LOS Range'!B:B)</f>
        <v>10 - 14 years</v>
      </c>
      <c r="P130" s="1" t="s">
        <v>56</v>
      </c>
      <c r="Q130" s="1" t="s">
        <v>561</v>
      </c>
      <c r="R130" s="2">
        <v>705583.74</v>
      </c>
      <c r="S130" s="1">
        <v>92</v>
      </c>
    </row>
    <row r="131" spans="1:19" s="3" customFormat="1" x14ac:dyDescent="0.2">
      <c r="A131" s="1">
        <v>130</v>
      </c>
      <c r="B131" s="1" t="s">
        <v>812</v>
      </c>
      <c r="C131" s="1" t="s">
        <v>813</v>
      </c>
      <c r="D131" s="1" t="s">
        <v>814</v>
      </c>
      <c r="E131" s="1" t="s">
        <v>608</v>
      </c>
      <c r="F131" s="1" t="s">
        <v>61</v>
      </c>
      <c r="G131" s="1" t="s">
        <v>52</v>
      </c>
      <c r="H131" s="1" t="s">
        <v>815</v>
      </c>
      <c r="I131" s="1" t="s">
        <v>25</v>
      </c>
      <c r="J131" s="1" t="s">
        <v>816</v>
      </c>
      <c r="K131" s="56">
        <f t="shared" ca="1" si="4"/>
        <v>40</v>
      </c>
      <c r="L131" s="79" t="str">
        <f ca="1">_xlfn.XLOOKUP(K131,'Age Range'!A:A,'Age Range'!B:B)</f>
        <v>40-49</v>
      </c>
      <c r="M131" s="8" t="s">
        <v>817</v>
      </c>
      <c r="N131" s="56">
        <f t="shared" ca="1" si="5"/>
        <v>14</v>
      </c>
      <c r="O131" s="79" t="str">
        <f ca="1">_xlfn.XLOOKUP(N131,'LOS Range'!A:A,'LOS Range'!B:B)</f>
        <v>10 - 14 years</v>
      </c>
      <c r="P131" s="1" t="s">
        <v>28</v>
      </c>
      <c r="Q131" s="1" t="s">
        <v>818</v>
      </c>
      <c r="R131" s="2">
        <v>1110204.24</v>
      </c>
      <c r="S131" s="1">
        <v>93</v>
      </c>
    </row>
    <row r="132" spans="1:19" s="3" customFormat="1" x14ac:dyDescent="0.2">
      <c r="A132" s="1">
        <v>131</v>
      </c>
      <c r="B132" s="1" t="s">
        <v>819</v>
      </c>
      <c r="C132" s="1" t="s">
        <v>820</v>
      </c>
      <c r="D132" s="1" t="s">
        <v>821</v>
      </c>
      <c r="E132" s="1" t="s">
        <v>92</v>
      </c>
      <c r="F132" s="1" t="s">
        <v>42</v>
      </c>
      <c r="G132" s="1" t="s">
        <v>322</v>
      </c>
      <c r="H132" s="1" t="s">
        <v>822</v>
      </c>
      <c r="I132" s="1" t="s">
        <v>63</v>
      </c>
      <c r="J132" s="1" t="s">
        <v>823</v>
      </c>
      <c r="K132" s="56">
        <f t="shared" ca="1" si="4"/>
        <v>36</v>
      </c>
      <c r="L132" s="79" t="str">
        <f ca="1">_xlfn.XLOOKUP(K132,'Age Range'!A:A,'Age Range'!B:B)</f>
        <v>30-39</v>
      </c>
      <c r="M132" s="8" t="s">
        <v>824</v>
      </c>
      <c r="N132" s="56">
        <f t="shared" ca="1" si="5"/>
        <v>18</v>
      </c>
      <c r="O132" s="79" t="str">
        <f ca="1">_xlfn.XLOOKUP(N132,'LOS Range'!A:A,'LOS Range'!B:B)</f>
        <v>15 - 19 years</v>
      </c>
      <c r="P132" s="1" t="s">
        <v>56</v>
      </c>
      <c r="Q132" s="1" t="s">
        <v>818</v>
      </c>
      <c r="R132" s="2">
        <v>2500000</v>
      </c>
      <c r="S132" s="1">
        <v>94</v>
      </c>
    </row>
    <row r="133" spans="1:19" s="3" customFormat="1" x14ac:dyDescent="0.2">
      <c r="A133" s="1">
        <v>132</v>
      </c>
      <c r="B133" s="1" t="s">
        <v>825</v>
      </c>
      <c r="C133" s="1" t="s">
        <v>826</v>
      </c>
      <c r="D133" s="1" t="s">
        <v>827</v>
      </c>
      <c r="E133" s="1" t="s">
        <v>828</v>
      </c>
      <c r="F133" s="1" t="s">
        <v>42</v>
      </c>
      <c r="G133" s="1" t="s">
        <v>322</v>
      </c>
      <c r="H133" s="1" t="s">
        <v>829</v>
      </c>
      <c r="I133" s="1" t="s">
        <v>25</v>
      </c>
      <c r="J133" s="1" t="s">
        <v>761</v>
      </c>
      <c r="K133" s="56">
        <f t="shared" ca="1" si="4"/>
        <v>32</v>
      </c>
      <c r="L133" s="79" t="str">
        <f ca="1">_xlfn.XLOOKUP(K133,'Age Range'!A:A,'Age Range'!B:B)</f>
        <v>30-39</v>
      </c>
      <c r="M133" s="8" t="s">
        <v>830</v>
      </c>
      <c r="N133" s="56">
        <f t="shared" ca="1" si="5"/>
        <v>14</v>
      </c>
      <c r="O133" s="79" t="str">
        <f ca="1">_xlfn.XLOOKUP(N133,'LOS Range'!A:A,'LOS Range'!B:B)</f>
        <v>10 - 14 years</v>
      </c>
      <c r="P133" s="1" t="s">
        <v>56</v>
      </c>
      <c r="Q133" s="1" t="s">
        <v>818</v>
      </c>
      <c r="R133" s="2">
        <v>2939259.99</v>
      </c>
      <c r="S133" s="1">
        <v>95</v>
      </c>
    </row>
    <row r="134" spans="1:19" s="3" customFormat="1" x14ac:dyDescent="0.2">
      <c r="A134" s="1">
        <v>133</v>
      </c>
      <c r="B134" s="1" t="s">
        <v>831</v>
      </c>
      <c r="C134" s="1" t="s">
        <v>832</v>
      </c>
      <c r="D134" s="1" t="s">
        <v>833</v>
      </c>
      <c r="E134" s="1" t="s">
        <v>834</v>
      </c>
      <c r="F134" s="1" t="s">
        <v>61</v>
      </c>
      <c r="G134" s="1" t="s">
        <v>221</v>
      </c>
      <c r="H134" s="1" t="s">
        <v>835</v>
      </c>
      <c r="I134" s="1" t="s">
        <v>63</v>
      </c>
      <c r="J134" s="1" t="s">
        <v>836</v>
      </c>
      <c r="K134" s="56">
        <f t="shared" ca="1" si="4"/>
        <v>32</v>
      </c>
      <c r="L134" s="79" t="str">
        <f ca="1">_xlfn.XLOOKUP(K134,'Age Range'!A:A,'Age Range'!B:B)</f>
        <v>30-39</v>
      </c>
      <c r="M134" s="8" t="s">
        <v>837</v>
      </c>
      <c r="N134" s="56">
        <f t="shared" ca="1" si="5"/>
        <v>10</v>
      </c>
      <c r="O134" s="79" t="str">
        <f ca="1">_xlfn.XLOOKUP(N134,'LOS Range'!A:A,'LOS Range'!B:B)</f>
        <v>10 - 14 years</v>
      </c>
      <c r="P134" s="1" t="s">
        <v>28</v>
      </c>
      <c r="Q134" s="1" t="s">
        <v>818</v>
      </c>
      <c r="R134" s="2">
        <v>2139999.9899999998</v>
      </c>
      <c r="S134" s="1">
        <v>80</v>
      </c>
    </row>
    <row r="135" spans="1:19" s="3" customFormat="1" x14ac:dyDescent="0.2">
      <c r="A135" s="1">
        <v>134</v>
      </c>
      <c r="B135" s="1" t="s">
        <v>838</v>
      </c>
      <c r="C135" s="1" t="s">
        <v>839</v>
      </c>
      <c r="D135" s="1" t="s">
        <v>840</v>
      </c>
      <c r="E135" s="1" t="s">
        <v>442</v>
      </c>
      <c r="F135" s="1" t="s">
        <v>42</v>
      </c>
      <c r="G135" s="1" t="s">
        <v>525</v>
      </c>
      <c r="H135" s="1" t="s">
        <v>841</v>
      </c>
      <c r="I135" s="1" t="s">
        <v>25</v>
      </c>
      <c r="J135" s="1" t="s">
        <v>842</v>
      </c>
      <c r="K135" s="56">
        <f t="shared" ca="1" si="4"/>
        <v>34</v>
      </c>
      <c r="L135" s="79" t="str">
        <f ca="1">_xlfn.XLOOKUP(K135,'Age Range'!A:A,'Age Range'!B:B)</f>
        <v>30-39</v>
      </c>
      <c r="M135" s="8" t="s">
        <v>843</v>
      </c>
      <c r="N135" s="56">
        <f t="shared" ca="1" si="5"/>
        <v>9</v>
      </c>
      <c r="O135" s="79" t="str">
        <f ca="1">_xlfn.XLOOKUP(N135,'LOS Range'!A:A,'LOS Range'!B:B)</f>
        <v>5 - 9 years</v>
      </c>
      <c r="P135" s="1" t="s">
        <v>56</v>
      </c>
      <c r="Q135" s="1" t="s">
        <v>818</v>
      </c>
      <c r="R135" s="2">
        <v>3474813.9702072507</v>
      </c>
      <c r="S135" s="1">
        <v>81</v>
      </c>
    </row>
    <row r="136" spans="1:19" s="3" customFormat="1" x14ac:dyDescent="0.2">
      <c r="A136" s="1">
        <v>135</v>
      </c>
      <c r="B136" s="1" t="s">
        <v>844</v>
      </c>
      <c r="C136" s="1" t="s">
        <v>845</v>
      </c>
      <c r="D136" s="1" t="s">
        <v>846</v>
      </c>
      <c r="E136" s="1" t="s">
        <v>550</v>
      </c>
      <c r="F136" s="1" t="s">
        <v>42</v>
      </c>
      <c r="G136" s="1" t="s">
        <v>52</v>
      </c>
      <c r="H136" s="1" t="s">
        <v>847</v>
      </c>
      <c r="I136" s="1" t="s">
        <v>63</v>
      </c>
      <c r="J136" s="1" t="s">
        <v>848</v>
      </c>
      <c r="K136" s="56">
        <f t="shared" ca="1" si="4"/>
        <v>28</v>
      </c>
      <c r="L136" s="79" t="str">
        <f ca="1">_xlfn.XLOOKUP(K136,'Age Range'!A:A,'Age Range'!B:B)</f>
        <v>20-29</v>
      </c>
      <c r="M136" s="8" t="s">
        <v>811</v>
      </c>
      <c r="N136" s="56">
        <f t="shared" ca="1" si="5"/>
        <v>13</v>
      </c>
      <c r="O136" s="79" t="str">
        <f ca="1">_xlfn.XLOOKUP(N136,'LOS Range'!A:A,'LOS Range'!B:B)</f>
        <v>10 - 14 years</v>
      </c>
      <c r="P136" s="1" t="s">
        <v>121</v>
      </c>
      <c r="Q136" s="1" t="s">
        <v>818</v>
      </c>
      <c r="R136" s="2">
        <v>2975115</v>
      </c>
      <c r="S136" s="1">
        <v>82</v>
      </c>
    </row>
    <row r="137" spans="1:19" s="3" customFormat="1" x14ac:dyDescent="0.2">
      <c r="A137" s="1">
        <v>136</v>
      </c>
      <c r="B137" s="1" t="s">
        <v>849</v>
      </c>
      <c r="C137" s="1" t="s">
        <v>850</v>
      </c>
      <c r="D137" s="1" t="s">
        <v>851</v>
      </c>
      <c r="E137" s="1" t="s">
        <v>852</v>
      </c>
      <c r="F137" s="1" t="s">
        <v>42</v>
      </c>
      <c r="G137" s="1" t="s">
        <v>78</v>
      </c>
      <c r="H137" s="1" t="s">
        <v>853</v>
      </c>
      <c r="I137" s="1" t="s">
        <v>25</v>
      </c>
      <c r="J137" s="1" t="s">
        <v>854</v>
      </c>
      <c r="K137" s="56">
        <f t="shared" ca="1" si="4"/>
        <v>37</v>
      </c>
      <c r="L137" s="79" t="str">
        <f ca="1">_xlfn.XLOOKUP(K137,'Age Range'!A:A,'Age Range'!B:B)</f>
        <v>30-39</v>
      </c>
      <c r="M137" s="8" t="s">
        <v>855</v>
      </c>
      <c r="N137" s="56">
        <f t="shared" ca="1" si="5"/>
        <v>10</v>
      </c>
      <c r="O137" s="79" t="str">
        <f ca="1">_xlfn.XLOOKUP(N137,'LOS Range'!A:A,'LOS Range'!B:B)</f>
        <v>10 - 14 years</v>
      </c>
      <c r="P137" s="1" t="s">
        <v>47</v>
      </c>
      <c r="Q137" s="1" t="s">
        <v>818</v>
      </c>
      <c r="R137" s="2">
        <v>2360000.0099999998</v>
      </c>
      <c r="S137" s="1">
        <v>83</v>
      </c>
    </row>
    <row r="138" spans="1:19" s="3" customFormat="1" x14ac:dyDescent="0.2">
      <c r="A138" s="1">
        <v>137</v>
      </c>
      <c r="B138" s="1" t="s">
        <v>856</v>
      </c>
      <c r="C138" s="1" t="s">
        <v>857</v>
      </c>
      <c r="D138" s="1" t="s">
        <v>858</v>
      </c>
      <c r="E138" s="1" t="s">
        <v>859</v>
      </c>
      <c r="F138" s="1" t="s">
        <v>34</v>
      </c>
      <c r="G138" s="1" t="s">
        <v>350</v>
      </c>
      <c r="H138" s="1" t="s">
        <v>860</v>
      </c>
      <c r="I138" s="1" t="s">
        <v>63</v>
      </c>
      <c r="J138" s="1" t="s">
        <v>861</v>
      </c>
      <c r="K138" s="56">
        <f t="shared" ca="1" si="4"/>
        <v>38</v>
      </c>
      <c r="L138" s="79" t="str">
        <f ca="1">_xlfn.XLOOKUP(K138,'Age Range'!A:A,'Age Range'!B:B)</f>
        <v>30-39</v>
      </c>
      <c r="M138" s="8" t="s">
        <v>862</v>
      </c>
      <c r="N138" s="56">
        <f t="shared" ca="1" si="5"/>
        <v>13</v>
      </c>
      <c r="O138" s="79" t="str">
        <f ca="1">_xlfn.XLOOKUP(N138,'LOS Range'!A:A,'LOS Range'!B:B)</f>
        <v>10 - 14 years</v>
      </c>
      <c r="P138" s="1" t="s">
        <v>66</v>
      </c>
      <c r="Q138" s="1" t="s">
        <v>818</v>
      </c>
      <c r="R138" s="2">
        <v>3386353.490284963</v>
      </c>
      <c r="S138" s="1">
        <v>84</v>
      </c>
    </row>
    <row r="139" spans="1:19" s="3" customFormat="1" x14ac:dyDescent="0.2">
      <c r="A139" s="1">
        <v>138</v>
      </c>
      <c r="B139" s="1" t="s">
        <v>863</v>
      </c>
      <c r="C139" s="1" t="s">
        <v>864</v>
      </c>
      <c r="D139" s="1" t="s">
        <v>865</v>
      </c>
      <c r="E139" s="1" t="s">
        <v>866</v>
      </c>
      <c r="F139" s="1" t="s">
        <v>42</v>
      </c>
      <c r="G139" s="1" t="s">
        <v>557</v>
      </c>
      <c r="H139" s="1" t="s">
        <v>867</v>
      </c>
      <c r="I139" s="1" t="s">
        <v>25</v>
      </c>
      <c r="J139" s="1" t="s">
        <v>868</v>
      </c>
      <c r="K139" s="56">
        <f t="shared" ca="1" si="4"/>
        <v>31</v>
      </c>
      <c r="L139" s="79" t="str">
        <f ca="1">_xlfn.XLOOKUP(K139,'Age Range'!A:A,'Age Range'!B:B)</f>
        <v>30-39</v>
      </c>
      <c r="M139" s="8" t="s">
        <v>869</v>
      </c>
      <c r="N139" s="56">
        <f t="shared" ca="1" si="5"/>
        <v>14</v>
      </c>
      <c r="O139" s="79" t="str">
        <f ca="1">_xlfn.XLOOKUP(N139,'LOS Range'!A:A,'LOS Range'!B:B)</f>
        <v>10 - 14 years</v>
      </c>
      <c r="P139" s="1" t="s">
        <v>870</v>
      </c>
      <c r="Q139" s="1" t="s">
        <v>818</v>
      </c>
      <c r="R139" s="2">
        <v>3999999.99</v>
      </c>
      <c r="S139" s="1">
        <v>85</v>
      </c>
    </row>
    <row r="140" spans="1:19" s="3" customFormat="1" x14ac:dyDescent="0.2">
      <c r="A140" s="1">
        <v>139</v>
      </c>
      <c r="B140" s="1" t="s">
        <v>871</v>
      </c>
      <c r="C140" s="1" t="s">
        <v>872</v>
      </c>
      <c r="D140" s="1" t="s">
        <v>873</v>
      </c>
      <c r="E140" s="1" t="s">
        <v>874</v>
      </c>
      <c r="F140" s="1" t="s">
        <v>42</v>
      </c>
      <c r="G140" s="1" t="s">
        <v>78</v>
      </c>
      <c r="H140" s="1" t="s">
        <v>875</v>
      </c>
      <c r="I140" s="1" t="s">
        <v>63</v>
      </c>
      <c r="J140" s="1" t="s">
        <v>876</v>
      </c>
      <c r="K140" s="56">
        <f t="shared" ca="1" si="4"/>
        <v>35</v>
      </c>
      <c r="L140" s="79" t="str">
        <f ca="1">_xlfn.XLOOKUP(K140,'Age Range'!A:A,'Age Range'!B:B)</f>
        <v>30-39</v>
      </c>
      <c r="M140" s="8" t="s">
        <v>877</v>
      </c>
      <c r="N140" s="56">
        <f t="shared" ca="1" si="5"/>
        <v>10</v>
      </c>
      <c r="O140" s="79" t="str">
        <f ca="1">_xlfn.XLOOKUP(N140,'LOS Range'!A:A,'LOS Range'!B:B)</f>
        <v>10 - 14 years</v>
      </c>
      <c r="P140" s="1" t="s">
        <v>28</v>
      </c>
      <c r="Q140" s="1" t="s">
        <v>818</v>
      </c>
      <c r="R140" s="2">
        <v>2360000.0099999998</v>
      </c>
      <c r="S140" s="1">
        <v>70</v>
      </c>
    </row>
    <row r="141" spans="1:19" s="3" customFormat="1" x14ac:dyDescent="0.2">
      <c r="A141" s="1">
        <v>140</v>
      </c>
      <c r="B141" s="1" t="s">
        <v>878</v>
      </c>
      <c r="C141" s="1" t="s">
        <v>879</v>
      </c>
      <c r="D141" s="1" t="s">
        <v>880</v>
      </c>
      <c r="E141" s="1" t="s">
        <v>881</v>
      </c>
      <c r="F141" s="1" t="s">
        <v>42</v>
      </c>
      <c r="G141" s="1" t="s">
        <v>52</v>
      </c>
      <c r="H141" s="1" t="s">
        <v>882</v>
      </c>
      <c r="I141" s="1" t="s">
        <v>25</v>
      </c>
      <c r="J141" s="1" t="s">
        <v>883</v>
      </c>
      <c r="K141" s="56">
        <f t="shared" ca="1" si="4"/>
        <v>49</v>
      </c>
      <c r="L141" s="79" t="str">
        <f ca="1">_xlfn.XLOOKUP(K141,'Age Range'!A:A,'Age Range'!B:B)</f>
        <v>40-49</v>
      </c>
      <c r="M141" s="8" t="s">
        <v>884</v>
      </c>
      <c r="N141" s="56">
        <f t="shared" ca="1" si="5"/>
        <v>17</v>
      </c>
      <c r="O141" s="79" t="str">
        <f ca="1">_xlfn.XLOOKUP(N141,'LOS Range'!A:A,'LOS Range'!B:B)</f>
        <v>15 - 19 years</v>
      </c>
      <c r="P141" s="1" t="s">
        <v>56</v>
      </c>
      <c r="Q141" s="1" t="s">
        <v>885</v>
      </c>
      <c r="R141" s="2">
        <v>202812.23718</v>
      </c>
      <c r="S141" s="1">
        <v>71</v>
      </c>
    </row>
    <row r="142" spans="1:19" s="3" customFormat="1" x14ac:dyDescent="0.2">
      <c r="A142" s="1">
        <v>141</v>
      </c>
      <c r="B142" s="1" t="s">
        <v>886</v>
      </c>
      <c r="C142" s="1" t="s">
        <v>887</v>
      </c>
      <c r="D142" s="1" t="s">
        <v>888</v>
      </c>
      <c r="E142" s="1" t="s">
        <v>889</v>
      </c>
      <c r="F142" s="1" t="s">
        <v>42</v>
      </c>
      <c r="G142" s="1" t="s">
        <v>78</v>
      </c>
      <c r="H142" s="1" t="s">
        <v>86</v>
      </c>
      <c r="I142" s="1" t="s">
        <v>63</v>
      </c>
      <c r="J142" s="1" t="s">
        <v>890</v>
      </c>
      <c r="K142" s="56">
        <f t="shared" ca="1" si="4"/>
        <v>31</v>
      </c>
      <c r="L142" s="79" t="str">
        <f ca="1">_xlfn.XLOOKUP(K142,'Age Range'!A:A,'Age Range'!B:B)</f>
        <v>30-39</v>
      </c>
      <c r="M142" s="8" t="s">
        <v>891</v>
      </c>
      <c r="N142" s="56">
        <f t="shared" ca="1" si="5"/>
        <v>15</v>
      </c>
      <c r="O142" s="79" t="str">
        <f ca="1">_xlfn.XLOOKUP(N142,'LOS Range'!A:A,'LOS Range'!B:B)</f>
        <v>15 - 19 years</v>
      </c>
      <c r="P142" s="1" t="s">
        <v>56</v>
      </c>
      <c r="Q142" s="1" t="s">
        <v>885</v>
      </c>
      <c r="R142" s="2">
        <v>240410.21251199997</v>
      </c>
      <c r="S142" s="1">
        <v>72</v>
      </c>
    </row>
    <row r="143" spans="1:19" s="3" customFormat="1" x14ac:dyDescent="0.2">
      <c r="A143" s="1">
        <v>142</v>
      </c>
      <c r="B143" s="1" t="s">
        <v>892</v>
      </c>
      <c r="C143" s="1" t="s">
        <v>893</v>
      </c>
      <c r="D143" s="1" t="s">
        <v>894</v>
      </c>
      <c r="E143" s="1" t="s">
        <v>895</v>
      </c>
      <c r="F143" s="1" t="s">
        <v>42</v>
      </c>
      <c r="G143" s="1" t="s">
        <v>221</v>
      </c>
      <c r="H143" s="1" t="s">
        <v>896</v>
      </c>
      <c r="I143" s="1" t="s">
        <v>25</v>
      </c>
      <c r="J143" s="1" t="s">
        <v>897</v>
      </c>
      <c r="K143" s="56">
        <f t="shared" ca="1" si="4"/>
        <v>33</v>
      </c>
      <c r="L143" s="79" t="str">
        <f ca="1">_xlfn.XLOOKUP(K143,'Age Range'!A:A,'Age Range'!B:B)</f>
        <v>30-39</v>
      </c>
      <c r="M143" s="8" t="s">
        <v>891</v>
      </c>
      <c r="N143" s="56">
        <f t="shared" ca="1" si="5"/>
        <v>15</v>
      </c>
      <c r="O143" s="79" t="str">
        <f ca="1">_xlfn.XLOOKUP(N143,'LOS Range'!A:A,'LOS Range'!B:B)</f>
        <v>15 - 19 years</v>
      </c>
      <c r="P143" s="1" t="s">
        <v>56</v>
      </c>
      <c r="Q143" s="1" t="s">
        <v>885</v>
      </c>
      <c r="R143" s="2">
        <v>196581.57871199999</v>
      </c>
      <c r="S143" s="1">
        <v>73</v>
      </c>
    </row>
    <row r="144" spans="1:19" s="3" customFormat="1" x14ac:dyDescent="0.2">
      <c r="A144" s="1">
        <v>143</v>
      </c>
      <c r="B144" s="1" t="s">
        <v>898</v>
      </c>
      <c r="C144" s="1" t="s">
        <v>899</v>
      </c>
      <c r="D144" s="1" t="s">
        <v>900</v>
      </c>
      <c r="E144" s="1" t="s">
        <v>901</v>
      </c>
      <c r="F144" s="1" t="s">
        <v>42</v>
      </c>
      <c r="G144" s="1" t="s">
        <v>221</v>
      </c>
      <c r="H144" s="1" t="s">
        <v>902</v>
      </c>
      <c r="I144" s="1" t="s">
        <v>63</v>
      </c>
      <c r="J144" s="1" t="s">
        <v>903</v>
      </c>
      <c r="K144" s="56">
        <f t="shared" ca="1" si="4"/>
        <v>35</v>
      </c>
      <c r="L144" s="79" t="str">
        <f ca="1">_xlfn.XLOOKUP(K144,'Age Range'!A:A,'Age Range'!B:B)</f>
        <v>30-39</v>
      </c>
      <c r="M144" s="8" t="s">
        <v>904</v>
      </c>
      <c r="N144" s="56">
        <f t="shared" ca="1" si="5"/>
        <v>9</v>
      </c>
      <c r="O144" s="79" t="str">
        <f ca="1">_xlfn.XLOOKUP(N144,'LOS Range'!A:A,'LOS Range'!B:B)</f>
        <v>5 - 9 years</v>
      </c>
      <c r="P144" s="1" t="s">
        <v>56</v>
      </c>
      <c r="Q144" s="1" t="s">
        <v>885</v>
      </c>
      <c r="R144" s="2">
        <v>187292.12761200001</v>
      </c>
      <c r="S144" s="1">
        <v>74</v>
      </c>
    </row>
    <row r="145" spans="1:19" s="3" customFormat="1" x14ac:dyDescent="0.2">
      <c r="A145" s="1">
        <v>144</v>
      </c>
      <c r="B145" s="1" t="s">
        <v>905</v>
      </c>
      <c r="C145" s="1" t="s">
        <v>906</v>
      </c>
      <c r="D145" s="1" t="s">
        <v>907</v>
      </c>
      <c r="E145" s="1" t="s">
        <v>908</v>
      </c>
      <c r="F145" s="1" t="s">
        <v>42</v>
      </c>
      <c r="G145" s="1" t="s">
        <v>52</v>
      </c>
      <c r="H145" s="1" t="s">
        <v>387</v>
      </c>
      <c r="I145" s="1" t="s">
        <v>25</v>
      </c>
      <c r="J145" s="1" t="s">
        <v>909</v>
      </c>
      <c r="K145" s="56">
        <f t="shared" ca="1" si="4"/>
        <v>30</v>
      </c>
      <c r="L145" s="79" t="str">
        <f ca="1">_xlfn.XLOOKUP(K145,'Age Range'!A:A,'Age Range'!B:B)</f>
        <v>30-39</v>
      </c>
      <c r="M145" s="8" t="s">
        <v>910</v>
      </c>
      <c r="N145" s="56">
        <f t="shared" ca="1" si="5"/>
        <v>10</v>
      </c>
      <c r="O145" s="79" t="str">
        <f ca="1">_xlfn.XLOOKUP(N145,'LOS Range'!A:A,'LOS Range'!B:B)</f>
        <v>10 - 14 years</v>
      </c>
      <c r="P145" s="1" t="s">
        <v>28</v>
      </c>
      <c r="Q145" s="1" t="s">
        <v>885</v>
      </c>
      <c r="R145" s="2">
        <v>149134.8345</v>
      </c>
      <c r="S145" s="1">
        <v>75</v>
      </c>
    </row>
    <row r="146" spans="1:19" s="3" customFormat="1" x14ac:dyDescent="0.2">
      <c r="A146" s="1">
        <v>145</v>
      </c>
      <c r="B146" s="1" t="s">
        <v>911</v>
      </c>
      <c r="C146" s="1" t="s">
        <v>912</v>
      </c>
      <c r="D146" s="1" t="s">
        <v>913</v>
      </c>
      <c r="E146" s="1" t="s">
        <v>465</v>
      </c>
      <c r="F146" s="1" t="s">
        <v>42</v>
      </c>
      <c r="G146" s="1" t="s">
        <v>52</v>
      </c>
      <c r="H146" s="1" t="s">
        <v>914</v>
      </c>
      <c r="I146" s="1" t="s">
        <v>63</v>
      </c>
      <c r="J146" s="1" t="s">
        <v>915</v>
      </c>
      <c r="K146" s="56">
        <f t="shared" ca="1" si="4"/>
        <v>42</v>
      </c>
      <c r="L146" s="79" t="str">
        <f ca="1">_xlfn.XLOOKUP(K146,'Age Range'!A:A,'Age Range'!B:B)</f>
        <v>40-49</v>
      </c>
      <c r="M146" s="8" t="s">
        <v>855</v>
      </c>
      <c r="N146" s="56">
        <f t="shared" ca="1" si="5"/>
        <v>10</v>
      </c>
      <c r="O146" s="79" t="str">
        <f ca="1">_xlfn.XLOOKUP(N146,'LOS Range'!A:A,'LOS Range'!B:B)</f>
        <v>10 - 14 years</v>
      </c>
      <c r="P146" s="1" t="s">
        <v>47</v>
      </c>
      <c r="Q146" s="1" t="s">
        <v>885</v>
      </c>
      <c r="R146" s="2">
        <v>189621.5373</v>
      </c>
      <c r="S146" s="1">
        <v>60</v>
      </c>
    </row>
    <row r="147" spans="1:19" s="3" customFormat="1" x14ac:dyDescent="0.2">
      <c r="A147" s="1">
        <v>146</v>
      </c>
      <c r="B147" s="1" t="s">
        <v>916</v>
      </c>
      <c r="C147" s="1" t="s">
        <v>917</v>
      </c>
      <c r="D147" s="1" t="s">
        <v>918</v>
      </c>
      <c r="E147" s="1" t="s">
        <v>919</v>
      </c>
      <c r="F147" s="1" t="s">
        <v>42</v>
      </c>
      <c r="G147" s="1" t="s">
        <v>221</v>
      </c>
      <c r="H147" s="1" t="s">
        <v>920</v>
      </c>
      <c r="I147" s="1" t="s">
        <v>25</v>
      </c>
      <c r="J147" s="1" t="s">
        <v>921</v>
      </c>
      <c r="K147" s="56">
        <f t="shared" ca="1" si="4"/>
        <v>34</v>
      </c>
      <c r="L147" s="79" t="str">
        <f ca="1">_xlfn.XLOOKUP(K147,'Age Range'!A:A,'Age Range'!B:B)</f>
        <v>30-39</v>
      </c>
      <c r="M147" s="8" t="s">
        <v>922</v>
      </c>
      <c r="N147" s="56">
        <f t="shared" ca="1" si="5"/>
        <v>9</v>
      </c>
      <c r="O147" s="79" t="str">
        <f ca="1">_xlfn.XLOOKUP(N147,'LOS Range'!A:A,'LOS Range'!B:B)</f>
        <v>5 - 9 years</v>
      </c>
      <c r="P147" s="1" t="s">
        <v>28</v>
      </c>
      <c r="Q147" s="1" t="s">
        <v>885</v>
      </c>
      <c r="R147" s="2">
        <v>172895.12609999996</v>
      </c>
      <c r="S147" s="1">
        <v>61</v>
      </c>
    </row>
    <row r="148" spans="1:19" s="3" customFormat="1" x14ac:dyDescent="0.2">
      <c r="A148" s="1">
        <v>147</v>
      </c>
      <c r="B148" s="1" t="s">
        <v>923</v>
      </c>
      <c r="C148" s="1" t="s">
        <v>924</v>
      </c>
      <c r="D148" s="1" t="s">
        <v>113</v>
      </c>
      <c r="E148" s="1" t="s">
        <v>925</v>
      </c>
      <c r="F148" s="1" t="s">
        <v>42</v>
      </c>
      <c r="G148" s="1" t="s">
        <v>52</v>
      </c>
      <c r="H148" s="1" t="s">
        <v>926</v>
      </c>
      <c r="I148" s="1" t="s">
        <v>63</v>
      </c>
      <c r="J148" s="1" t="s">
        <v>927</v>
      </c>
      <c r="K148" s="56">
        <f t="shared" ca="1" si="4"/>
        <v>33</v>
      </c>
      <c r="L148" s="79" t="str">
        <f ca="1">_xlfn.XLOOKUP(K148,'Age Range'!A:A,'Age Range'!B:B)</f>
        <v>30-39</v>
      </c>
      <c r="M148" s="8" t="s">
        <v>922</v>
      </c>
      <c r="N148" s="56">
        <f t="shared" ca="1" si="5"/>
        <v>9</v>
      </c>
      <c r="O148" s="79" t="str">
        <f ca="1">_xlfn.XLOOKUP(N148,'LOS Range'!A:A,'LOS Range'!B:B)</f>
        <v>5 - 9 years</v>
      </c>
      <c r="P148" s="1" t="s">
        <v>28</v>
      </c>
      <c r="Q148" s="1" t="s">
        <v>885</v>
      </c>
      <c r="R148" s="2">
        <v>189164.76328799996</v>
      </c>
      <c r="S148" s="1">
        <v>62</v>
      </c>
    </row>
    <row r="149" spans="1:19" s="3" customFormat="1" x14ac:dyDescent="0.2">
      <c r="A149" s="1">
        <v>148</v>
      </c>
      <c r="B149" s="1" t="s">
        <v>928</v>
      </c>
      <c r="C149" s="1" t="s">
        <v>929</v>
      </c>
      <c r="D149" s="1" t="s">
        <v>113</v>
      </c>
      <c r="E149" s="1" t="s">
        <v>930</v>
      </c>
      <c r="F149" s="1" t="s">
        <v>42</v>
      </c>
      <c r="G149" s="1" t="s">
        <v>78</v>
      </c>
      <c r="H149" s="1" t="s">
        <v>86</v>
      </c>
      <c r="I149" s="1" t="s">
        <v>25</v>
      </c>
      <c r="J149" s="1" t="s">
        <v>931</v>
      </c>
      <c r="K149" s="56">
        <f t="shared" ca="1" si="4"/>
        <v>25</v>
      </c>
      <c r="L149" s="79" t="str">
        <f ca="1">_xlfn.XLOOKUP(K149,'Age Range'!A:A,'Age Range'!B:B)</f>
        <v>20-29</v>
      </c>
      <c r="M149" s="8" t="s">
        <v>932</v>
      </c>
      <c r="N149" s="56">
        <f t="shared" ca="1" si="5"/>
        <v>9</v>
      </c>
      <c r="O149" s="79" t="str">
        <f ca="1">_xlfn.XLOOKUP(N149,'LOS Range'!A:A,'LOS Range'!B:B)</f>
        <v>5 - 9 years</v>
      </c>
      <c r="P149" s="1" t="s">
        <v>56</v>
      </c>
      <c r="Q149" s="1" t="s">
        <v>885</v>
      </c>
      <c r="R149" s="2">
        <v>171805.675212</v>
      </c>
      <c r="S149" s="1">
        <v>63</v>
      </c>
    </row>
    <row r="150" spans="1:19" s="3" customFormat="1" x14ac:dyDescent="0.2">
      <c r="A150" s="1">
        <v>149</v>
      </c>
      <c r="B150" s="1" t="s">
        <v>933</v>
      </c>
      <c r="C150" s="1" t="s">
        <v>934</v>
      </c>
      <c r="D150" s="1" t="s">
        <v>935</v>
      </c>
      <c r="E150" s="1" t="s">
        <v>936</v>
      </c>
      <c r="F150" s="1" t="s">
        <v>42</v>
      </c>
      <c r="G150" s="1" t="s">
        <v>78</v>
      </c>
      <c r="H150" s="1" t="s">
        <v>86</v>
      </c>
      <c r="I150" s="1" t="s">
        <v>63</v>
      </c>
      <c r="J150" s="1" t="s">
        <v>937</v>
      </c>
      <c r="K150" s="56">
        <f t="shared" ca="1" si="4"/>
        <v>39</v>
      </c>
      <c r="L150" s="79" t="str">
        <f ca="1">_xlfn.XLOOKUP(K150,'Age Range'!A:A,'Age Range'!B:B)</f>
        <v>30-39</v>
      </c>
      <c r="M150" s="8" t="s">
        <v>922</v>
      </c>
      <c r="N150" s="56">
        <f t="shared" ca="1" si="5"/>
        <v>9</v>
      </c>
      <c r="O150" s="79" t="str">
        <f ca="1">_xlfn.XLOOKUP(N150,'LOS Range'!A:A,'LOS Range'!B:B)</f>
        <v>5 - 9 years</v>
      </c>
      <c r="P150" s="1" t="s">
        <v>185</v>
      </c>
      <c r="Q150" s="1" t="s">
        <v>885</v>
      </c>
      <c r="R150" s="2">
        <v>170285.18038799998</v>
      </c>
      <c r="S150" s="1">
        <v>64</v>
      </c>
    </row>
    <row r="151" spans="1:19" s="3" customFormat="1" x14ac:dyDescent="0.2">
      <c r="A151" s="1">
        <v>150</v>
      </c>
      <c r="B151" s="1" t="s">
        <v>938</v>
      </c>
      <c r="C151" s="1" t="s">
        <v>939</v>
      </c>
      <c r="D151" s="1" t="s">
        <v>940</v>
      </c>
      <c r="E151" s="1" t="s">
        <v>941</v>
      </c>
      <c r="F151" s="1" t="s">
        <v>42</v>
      </c>
      <c r="G151" s="1" t="s">
        <v>52</v>
      </c>
      <c r="H151" s="1" t="s">
        <v>273</v>
      </c>
      <c r="I151" s="1" t="s">
        <v>25</v>
      </c>
      <c r="J151" s="1" t="s">
        <v>927</v>
      </c>
      <c r="K151" s="56">
        <f t="shared" ca="1" si="4"/>
        <v>33</v>
      </c>
      <c r="L151" s="79" t="str">
        <f ca="1">_xlfn.XLOOKUP(K151,'Age Range'!A:A,'Age Range'!B:B)</f>
        <v>30-39</v>
      </c>
      <c r="M151" s="8" t="s">
        <v>910</v>
      </c>
      <c r="N151" s="56">
        <f t="shared" ca="1" si="5"/>
        <v>10</v>
      </c>
      <c r="O151" s="79" t="str">
        <f ca="1">_xlfn.XLOOKUP(N151,'LOS Range'!A:A,'LOS Range'!B:B)</f>
        <v>10 - 14 years</v>
      </c>
      <c r="P151" s="1" t="s">
        <v>56</v>
      </c>
      <c r="Q151" s="1" t="s">
        <v>885</v>
      </c>
      <c r="R151" s="2">
        <v>149849.41769999999</v>
      </c>
      <c r="S151" s="1">
        <v>65</v>
      </c>
    </row>
    <row r="152" spans="1:19" s="3" customFormat="1" x14ac:dyDescent="0.2">
      <c r="A152" s="1">
        <v>151</v>
      </c>
      <c r="B152" s="1" t="s">
        <v>942</v>
      </c>
      <c r="C152" s="1" t="s">
        <v>943</v>
      </c>
      <c r="D152" s="1" t="s">
        <v>944</v>
      </c>
      <c r="E152" s="1" t="s">
        <v>945</v>
      </c>
      <c r="F152" s="1" t="s">
        <v>42</v>
      </c>
      <c r="G152" s="1" t="s">
        <v>52</v>
      </c>
      <c r="H152" s="1" t="s">
        <v>273</v>
      </c>
      <c r="I152" s="1" t="s">
        <v>63</v>
      </c>
      <c r="J152" s="1" t="s">
        <v>946</v>
      </c>
      <c r="K152" s="56">
        <f t="shared" ca="1" si="4"/>
        <v>46</v>
      </c>
      <c r="L152" s="79" t="str">
        <f ca="1">_xlfn.XLOOKUP(K152,'Age Range'!A:A,'Age Range'!B:B)</f>
        <v>40-49</v>
      </c>
      <c r="M152" s="8" t="s">
        <v>947</v>
      </c>
      <c r="N152" s="56">
        <f t="shared" ca="1" si="5"/>
        <v>9</v>
      </c>
      <c r="O152" s="79" t="str">
        <f ca="1">_xlfn.XLOOKUP(N152,'LOS Range'!A:A,'LOS Range'!B:B)</f>
        <v>5 - 9 years</v>
      </c>
      <c r="P152" s="1" t="s">
        <v>28</v>
      </c>
      <c r="Q152" s="1" t="s">
        <v>885</v>
      </c>
      <c r="R152" s="2">
        <v>153816.62848799999</v>
      </c>
      <c r="S152" s="1">
        <v>50</v>
      </c>
    </row>
    <row r="153" spans="1:19" s="3" customFormat="1" x14ac:dyDescent="0.2">
      <c r="A153" s="1">
        <v>152</v>
      </c>
      <c r="B153" s="1" t="s">
        <v>948</v>
      </c>
      <c r="C153" s="1" t="s">
        <v>949</v>
      </c>
      <c r="D153" s="1" t="s">
        <v>950</v>
      </c>
      <c r="E153" s="1" t="s">
        <v>951</v>
      </c>
      <c r="F153" s="1" t="s">
        <v>42</v>
      </c>
      <c r="G153" s="1" t="s">
        <v>52</v>
      </c>
      <c r="H153" s="1" t="s">
        <v>952</v>
      </c>
      <c r="I153" s="1" t="s">
        <v>25</v>
      </c>
      <c r="J153" s="1" t="s">
        <v>953</v>
      </c>
      <c r="K153" s="56">
        <f t="shared" ca="1" si="4"/>
        <v>39</v>
      </c>
      <c r="L153" s="79" t="str">
        <f ca="1">_xlfn.XLOOKUP(K153,'Age Range'!A:A,'Age Range'!B:B)</f>
        <v>30-39</v>
      </c>
      <c r="M153" s="8" t="s">
        <v>954</v>
      </c>
      <c r="N153" s="56">
        <f t="shared" ca="1" si="5"/>
        <v>8</v>
      </c>
      <c r="O153" s="79" t="str">
        <f ca="1">_xlfn.XLOOKUP(N153,'LOS Range'!A:A,'LOS Range'!B:B)</f>
        <v>5 - 9 years</v>
      </c>
      <c r="P153" s="1" t="s">
        <v>28</v>
      </c>
      <c r="Q153" s="1" t="s">
        <v>885</v>
      </c>
      <c r="R153" s="2">
        <v>165732.48361200001</v>
      </c>
      <c r="S153" s="1">
        <v>51</v>
      </c>
    </row>
    <row r="154" spans="1:19" s="3" customFormat="1" x14ac:dyDescent="0.2">
      <c r="A154" s="1">
        <v>153</v>
      </c>
      <c r="B154" s="1" t="s">
        <v>955</v>
      </c>
      <c r="C154" s="1" t="s">
        <v>956</v>
      </c>
      <c r="D154" s="1" t="s">
        <v>957</v>
      </c>
      <c r="E154" s="1" t="s">
        <v>958</v>
      </c>
      <c r="F154" s="1" t="s">
        <v>42</v>
      </c>
      <c r="G154" s="1" t="s">
        <v>221</v>
      </c>
      <c r="H154" s="1" t="s">
        <v>896</v>
      </c>
      <c r="I154" s="1" t="s">
        <v>63</v>
      </c>
      <c r="J154" s="1" t="s">
        <v>959</v>
      </c>
      <c r="K154" s="56">
        <f t="shared" ca="1" si="4"/>
        <v>32</v>
      </c>
      <c r="L154" s="79" t="str">
        <f ca="1">_xlfn.XLOOKUP(K154,'Age Range'!A:A,'Age Range'!B:B)</f>
        <v>30-39</v>
      </c>
      <c r="M154" s="8" t="s">
        <v>960</v>
      </c>
      <c r="N154" s="56">
        <f t="shared" ca="1" si="5"/>
        <v>8</v>
      </c>
      <c r="O154" s="79" t="str">
        <f ca="1">_xlfn.XLOOKUP(N154,'LOS Range'!A:A,'LOS Range'!B:B)</f>
        <v>5 - 9 years</v>
      </c>
      <c r="P154" s="1" t="s">
        <v>28</v>
      </c>
      <c r="Q154" s="1" t="s">
        <v>885</v>
      </c>
      <c r="R154" s="2">
        <v>151538.98484399999</v>
      </c>
      <c r="S154" s="1">
        <v>52</v>
      </c>
    </row>
    <row r="155" spans="1:19" s="3" customFormat="1" x14ac:dyDescent="0.2">
      <c r="A155" s="1">
        <v>154</v>
      </c>
      <c r="B155" s="1" t="s">
        <v>961</v>
      </c>
      <c r="C155" s="1" t="s">
        <v>962</v>
      </c>
      <c r="D155" s="1" t="s">
        <v>963</v>
      </c>
      <c r="E155" s="1" t="s">
        <v>964</v>
      </c>
      <c r="F155" s="1" t="s">
        <v>42</v>
      </c>
      <c r="G155" s="1" t="s">
        <v>221</v>
      </c>
      <c r="H155" s="1" t="s">
        <v>896</v>
      </c>
      <c r="I155" s="1" t="s">
        <v>25</v>
      </c>
      <c r="J155" s="1" t="s">
        <v>965</v>
      </c>
      <c r="K155" s="56">
        <f t="shared" ca="1" si="4"/>
        <v>37</v>
      </c>
      <c r="L155" s="79" t="str">
        <f ca="1">_xlfn.XLOOKUP(K155,'Age Range'!A:A,'Age Range'!B:B)</f>
        <v>30-39</v>
      </c>
      <c r="M155" s="8" t="s">
        <v>966</v>
      </c>
      <c r="N155" s="56">
        <f t="shared" ca="1" si="5"/>
        <v>8</v>
      </c>
      <c r="O155" s="79" t="str">
        <f ca="1">_xlfn.XLOOKUP(N155,'LOS Range'!A:A,'LOS Range'!B:B)</f>
        <v>5 - 9 years</v>
      </c>
      <c r="P155" s="1" t="s">
        <v>28</v>
      </c>
      <c r="Q155" s="1" t="s">
        <v>885</v>
      </c>
      <c r="R155" s="2">
        <v>156684.7641</v>
      </c>
      <c r="S155" s="1">
        <v>53</v>
      </c>
    </row>
    <row r="156" spans="1:19" s="3" customFormat="1" x14ac:dyDescent="0.2">
      <c r="A156" s="1">
        <v>155</v>
      </c>
      <c r="B156" s="1" t="s">
        <v>967</v>
      </c>
      <c r="C156" s="1" t="s">
        <v>968</v>
      </c>
      <c r="D156" s="1" t="s">
        <v>969</v>
      </c>
      <c r="E156" s="1" t="s">
        <v>970</v>
      </c>
      <c r="F156" s="1" t="s">
        <v>42</v>
      </c>
      <c r="G156" s="1" t="s">
        <v>221</v>
      </c>
      <c r="H156" s="1" t="s">
        <v>971</v>
      </c>
      <c r="I156" s="1" t="s">
        <v>63</v>
      </c>
      <c r="J156" s="1" t="s">
        <v>972</v>
      </c>
      <c r="K156" s="56">
        <f t="shared" ca="1" si="4"/>
        <v>33</v>
      </c>
      <c r="L156" s="79" t="str">
        <f ca="1">_xlfn.XLOOKUP(K156,'Age Range'!A:A,'Age Range'!B:B)</f>
        <v>30-39</v>
      </c>
      <c r="M156" s="8" t="s">
        <v>973</v>
      </c>
      <c r="N156" s="56">
        <f t="shared" ca="1" si="5"/>
        <v>8</v>
      </c>
      <c r="O156" s="79" t="str">
        <f ca="1">_xlfn.XLOOKUP(N156,'LOS Range'!A:A,'LOS Range'!B:B)</f>
        <v>5 - 9 years</v>
      </c>
      <c r="P156" s="1" t="s">
        <v>28</v>
      </c>
      <c r="Q156" s="1" t="s">
        <v>885</v>
      </c>
      <c r="R156" s="2">
        <v>148983.61979999999</v>
      </c>
      <c r="S156" s="1">
        <v>54</v>
      </c>
    </row>
    <row r="157" spans="1:19" s="3" customFormat="1" x14ac:dyDescent="0.2">
      <c r="A157" s="1">
        <v>156</v>
      </c>
      <c r="B157" s="1" t="s">
        <v>974</v>
      </c>
      <c r="C157" s="1" t="s">
        <v>975</v>
      </c>
      <c r="D157" s="1" t="s">
        <v>976</v>
      </c>
      <c r="E157" s="1" t="s">
        <v>977</v>
      </c>
      <c r="F157" s="1" t="s">
        <v>42</v>
      </c>
      <c r="G157" s="1" t="s">
        <v>43</v>
      </c>
      <c r="H157" s="1" t="s">
        <v>244</v>
      </c>
      <c r="I157" s="1" t="s">
        <v>25</v>
      </c>
      <c r="J157" s="1" t="s">
        <v>978</v>
      </c>
      <c r="K157" s="56">
        <f t="shared" ca="1" si="4"/>
        <v>34</v>
      </c>
      <c r="L157" s="79" t="str">
        <f ca="1">_xlfn.XLOOKUP(K157,'Age Range'!A:A,'Age Range'!B:B)</f>
        <v>30-39</v>
      </c>
      <c r="M157" s="8" t="s">
        <v>979</v>
      </c>
      <c r="N157" s="56">
        <f t="shared" ca="1" si="5"/>
        <v>8</v>
      </c>
      <c r="O157" s="79" t="str">
        <f ca="1">_xlfn.XLOOKUP(N157,'LOS Range'!A:A,'LOS Range'!B:B)</f>
        <v>5 - 9 years</v>
      </c>
      <c r="P157" s="1" t="s">
        <v>28</v>
      </c>
      <c r="Q157" s="1" t="s">
        <v>885</v>
      </c>
      <c r="R157" s="2">
        <v>147998.83861199999</v>
      </c>
      <c r="S157" s="1">
        <v>55</v>
      </c>
    </row>
    <row r="158" spans="1:19" s="3" customFormat="1" x14ac:dyDescent="0.2">
      <c r="A158" s="1">
        <v>157</v>
      </c>
      <c r="B158" s="1" t="s">
        <v>980</v>
      </c>
      <c r="C158" s="1" t="s">
        <v>981</v>
      </c>
      <c r="D158" s="1" t="s">
        <v>982</v>
      </c>
      <c r="E158" s="1" t="s">
        <v>983</v>
      </c>
      <c r="F158" s="1" t="s">
        <v>61</v>
      </c>
      <c r="G158" s="1" t="s">
        <v>52</v>
      </c>
      <c r="H158" s="1" t="s">
        <v>273</v>
      </c>
      <c r="I158" s="1" t="s">
        <v>63</v>
      </c>
      <c r="J158" s="1" t="s">
        <v>581</v>
      </c>
      <c r="K158" s="56">
        <f t="shared" ca="1" si="4"/>
        <v>32</v>
      </c>
      <c r="L158" s="79" t="str">
        <f ca="1">_xlfn.XLOOKUP(K158,'Age Range'!A:A,'Age Range'!B:B)</f>
        <v>30-39</v>
      </c>
      <c r="M158" s="8" t="s">
        <v>984</v>
      </c>
      <c r="N158" s="56">
        <f t="shared" ca="1" si="5"/>
        <v>8</v>
      </c>
      <c r="O158" s="79" t="str">
        <f ca="1">_xlfn.XLOOKUP(N158,'LOS Range'!A:A,'LOS Range'!B:B)</f>
        <v>5 - 9 years</v>
      </c>
      <c r="P158" s="1" t="s">
        <v>985</v>
      </c>
      <c r="Q158" s="1" t="s">
        <v>885</v>
      </c>
      <c r="R158" s="2">
        <v>159745.2597</v>
      </c>
      <c r="S158" s="1">
        <v>40</v>
      </c>
    </row>
    <row r="159" spans="1:19" s="3" customFormat="1" x14ac:dyDescent="0.2">
      <c r="A159" s="1">
        <v>158</v>
      </c>
      <c r="B159" s="1" t="s">
        <v>986</v>
      </c>
      <c r="C159" s="1" t="s">
        <v>987</v>
      </c>
      <c r="D159" s="1" t="s">
        <v>988</v>
      </c>
      <c r="E159" s="1" t="s">
        <v>765</v>
      </c>
      <c r="F159" s="1" t="s">
        <v>61</v>
      </c>
      <c r="G159" s="1" t="s">
        <v>52</v>
      </c>
      <c r="H159" s="1" t="s">
        <v>273</v>
      </c>
      <c r="I159" s="1" t="s">
        <v>25</v>
      </c>
      <c r="J159" s="1" t="s">
        <v>989</v>
      </c>
      <c r="K159" s="56">
        <f t="shared" ca="1" si="4"/>
        <v>29</v>
      </c>
      <c r="L159" s="79" t="str">
        <f ca="1">_xlfn.XLOOKUP(K159,'Age Range'!A:A,'Age Range'!B:B)</f>
        <v>20-29</v>
      </c>
      <c r="M159" s="8" t="s">
        <v>990</v>
      </c>
      <c r="N159" s="56">
        <f t="shared" ca="1" si="5"/>
        <v>8</v>
      </c>
      <c r="O159" s="79" t="str">
        <f ca="1">_xlfn.XLOOKUP(N159,'LOS Range'!A:A,'LOS Range'!B:B)</f>
        <v>5 - 9 years</v>
      </c>
      <c r="P159" s="1" t="s">
        <v>28</v>
      </c>
      <c r="Q159" s="1" t="s">
        <v>885</v>
      </c>
      <c r="R159" s="2">
        <v>159745.2597</v>
      </c>
      <c r="S159" s="1">
        <v>41</v>
      </c>
    </row>
    <row r="160" spans="1:19" s="3" customFormat="1" x14ac:dyDescent="0.2">
      <c r="A160" s="1">
        <v>159</v>
      </c>
      <c r="B160" s="1" t="s">
        <v>991</v>
      </c>
      <c r="C160" s="1" t="s">
        <v>992</v>
      </c>
      <c r="D160" s="1" t="s">
        <v>571</v>
      </c>
      <c r="E160" s="1" t="s">
        <v>993</v>
      </c>
      <c r="F160" s="1" t="s">
        <v>42</v>
      </c>
      <c r="G160" s="1" t="s">
        <v>52</v>
      </c>
      <c r="H160" s="1" t="s">
        <v>273</v>
      </c>
      <c r="I160" s="1" t="s">
        <v>63</v>
      </c>
      <c r="J160" s="1" t="s">
        <v>994</v>
      </c>
      <c r="K160" s="56">
        <f t="shared" ca="1" si="4"/>
        <v>47</v>
      </c>
      <c r="L160" s="79" t="str">
        <f ca="1">_xlfn.XLOOKUP(K160,'Age Range'!A:A,'Age Range'!B:B)</f>
        <v>40-49</v>
      </c>
      <c r="M160" s="8" t="s">
        <v>995</v>
      </c>
      <c r="N160" s="56">
        <f t="shared" ca="1" si="5"/>
        <v>8</v>
      </c>
      <c r="O160" s="79" t="str">
        <f ca="1">_xlfn.XLOOKUP(N160,'LOS Range'!A:A,'LOS Range'!B:B)</f>
        <v>5 - 9 years</v>
      </c>
      <c r="P160" s="1" t="s">
        <v>618</v>
      </c>
      <c r="Q160" s="1" t="s">
        <v>885</v>
      </c>
      <c r="R160" s="2">
        <v>144920.6502</v>
      </c>
      <c r="S160" s="1">
        <v>42</v>
      </c>
    </row>
    <row r="161" spans="1:19" s="3" customFormat="1" x14ac:dyDescent="0.2">
      <c r="A161" s="1">
        <v>160</v>
      </c>
      <c r="B161" s="1" t="s">
        <v>996</v>
      </c>
      <c r="C161" s="1" t="s">
        <v>997</v>
      </c>
      <c r="D161" s="1" t="s">
        <v>998</v>
      </c>
      <c r="E161" s="1" t="s">
        <v>999</v>
      </c>
      <c r="F161" s="1" t="s">
        <v>42</v>
      </c>
      <c r="G161" s="1" t="s">
        <v>52</v>
      </c>
      <c r="H161" s="1" t="s">
        <v>1000</v>
      </c>
      <c r="I161" s="1" t="s">
        <v>25</v>
      </c>
      <c r="J161" s="1" t="s">
        <v>1001</v>
      </c>
      <c r="K161" s="56">
        <f t="shared" ca="1" si="4"/>
        <v>37</v>
      </c>
      <c r="L161" s="79" t="str">
        <f ca="1">_xlfn.XLOOKUP(K161,'Age Range'!A:A,'Age Range'!B:B)</f>
        <v>30-39</v>
      </c>
      <c r="M161" s="8" t="s">
        <v>1002</v>
      </c>
      <c r="N161" s="56">
        <f t="shared" ca="1" si="5"/>
        <v>8</v>
      </c>
      <c r="O161" s="79" t="str">
        <f ca="1">_xlfn.XLOOKUP(N161,'LOS Range'!A:A,'LOS Range'!B:B)</f>
        <v>5 - 9 years</v>
      </c>
      <c r="P161" s="1" t="s">
        <v>66</v>
      </c>
      <c r="Q161" s="1" t="s">
        <v>885</v>
      </c>
      <c r="R161" s="2">
        <v>145292.37718800001</v>
      </c>
      <c r="S161" s="1">
        <v>43</v>
      </c>
    </row>
    <row r="162" spans="1:19" s="3" customFormat="1" x14ac:dyDescent="0.2">
      <c r="A162" s="1">
        <v>161</v>
      </c>
      <c r="B162" s="1" t="s">
        <v>1003</v>
      </c>
      <c r="C162" s="1" t="s">
        <v>1004</v>
      </c>
      <c r="D162" s="1" t="s">
        <v>1005</v>
      </c>
      <c r="E162" s="1" t="s">
        <v>1006</v>
      </c>
      <c r="F162" s="1" t="s">
        <v>42</v>
      </c>
      <c r="G162" s="1" t="s">
        <v>78</v>
      </c>
      <c r="H162" s="1" t="s">
        <v>86</v>
      </c>
      <c r="I162" s="1" t="s">
        <v>63</v>
      </c>
      <c r="J162" s="1" t="s">
        <v>1007</v>
      </c>
      <c r="K162" s="56">
        <f t="shared" ca="1" si="4"/>
        <v>33</v>
      </c>
      <c r="L162" s="79" t="str">
        <f ca="1">_xlfn.XLOOKUP(K162,'Age Range'!A:A,'Age Range'!B:B)</f>
        <v>30-39</v>
      </c>
      <c r="M162" s="8" t="s">
        <v>1008</v>
      </c>
      <c r="N162" s="56">
        <f t="shared" ca="1" si="5"/>
        <v>7</v>
      </c>
      <c r="O162" s="79" t="str">
        <f ca="1">_xlfn.XLOOKUP(N162,'LOS Range'!A:A,'LOS Range'!B:B)</f>
        <v>5 - 9 years</v>
      </c>
      <c r="P162" s="1" t="s">
        <v>28</v>
      </c>
      <c r="Q162" s="1" t="s">
        <v>885</v>
      </c>
      <c r="R162" s="2">
        <v>123321.9084</v>
      </c>
      <c r="S162" s="1">
        <v>44</v>
      </c>
    </row>
    <row r="163" spans="1:19" s="3" customFormat="1" x14ac:dyDescent="0.2">
      <c r="A163" s="1">
        <v>162</v>
      </c>
      <c r="B163" s="1" t="s">
        <v>1009</v>
      </c>
      <c r="C163" s="1" t="s">
        <v>1010</v>
      </c>
      <c r="D163" s="1" t="s">
        <v>1011</v>
      </c>
      <c r="E163" s="1" t="s">
        <v>1012</v>
      </c>
      <c r="F163" s="1" t="s">
        <v>42</v>
      </c>
      <c r="G163" s="1" t="s">
        <v>78</v>
      </c>
      <c r="H163" s="1" t="s">
        <v>86</v>
      </c>
      <c r="I163" s="1" t="s">
        <v>25</v>
      </c>
      <c r="J163" s="1" t="s">
        <v>1013</v>
      </c>
      <c r="K163" s="56">
        <f t="shared" ca="1" si="4"/>
        <v>33</v>
      </c>
      <c r="L163" s="79" t="str">
        <f ca="1">_xlfn.XLOOKUP(K163,'Age Range'!A:A,'Age Range'!B:B)</f>
        <v>30-39</v>
      </c>
      <c r="M163" s="8" t="s">
        <v>1014</v>
      </c>
      <c r="N163" s="56">
        <f t="shared" ca="1" si="5"/>
        <v>7</v>
      </c>
      <c r="O163" s="79" t="str">
        <f ca="1">_xlfn.XLOOKUP(N163,'LOS Range'!A:A,'LOS Range'!B:B)</f>
        <v>5 - 9 years</v>
      </c>
      <c r="P163" s="1" t="s">
        <v>28</v>
      </c>
      <c r="Q163" s="1" t="s">
        <v>885</v>
      </c>
      <c r="R163" s="2">
        <v>145633.92074399997</v>
      </c>
      <c r="S163" s="1">
        <v>45</v>
      </c>
    </row>
    <row r="164" spans="1:19" s="3" customFormat="1" x14ac:dyDescent="0.2">
      <c r="A164" s="1">
        <v>163</v>
      </c>
      <c r="B164" s="1" t="s">
        <v>1015</v>
      </c>
      <c r="C164" s="1" t="s">
        <v>1016</v>
      </c>
      <c r="D164" s="1" t="s">
        <v>1017</v>
      </c>
      <c r="E164" s="1" t="s">
        <v>1018</v>
      </c>
      <c r="F164" s="1" t="s">
        <v>42</v>
      </c>
      <c r="G164" s="1" t="s">
        <v>78</v>
      </c>
      <c r="H164" s="1" t="s">
        <v>86</v>
      </c>
      <c r="I164" s="1" t="s">
        <v>63</v>
      </c>
      <c r="J164" s="1" t="s">
        <v>1019</v>
      </c>
      <c r="K164" s="56">
        <f t="shared" ca="1" si="4"/>
        <v>46</v>
      </c>
      <c r="L164" s="79" t="str">
        <f ca="1">_xlfn.XLOOKUP(K164,'Age Range'!A:A,'Age Range'!B:B)</f>
        <v>40-49</v>
      </c>
      <c r="M164" s="8" t="s">
        <v>1008</v>
      </c>
      <c r="N164" s="56">
        <f t="shared" ca="1" si="5"/>
        <v>7</v>
      </c>
      <c r="O164" s="79" t="str">
        <f ca="1">_xlfn.XLOOKUP(N164,'LOS Range'!A:A,'LOS Range'!B:B)</f>
        <v>5 - 9 years</v>
      </c>
      <c r="P164" s="1" t="s">
        <v>28</v>
      </c>
      <c r="Q164" s="1" t="s">
        <v>885</v>
      </c>
      <c r="R164" s="2">
        <v>126068.0634</v>
      </c>
      <c r="S164" s="1">
        <v>30</v>
      </c>
    </row>
    <row r="165" spans="1:19" s="3" customFormat="1" x14ac:dyDescent="0.2">
      <c r="A165" s="1">
        <v>164</v>
      </c>
      <c r="B165" s="1" t="s">
        <v>1020</v>
      </c>
      <c r="C165" s="1" t="s">
        <v>1021</v>
      </c>
      <c r="D165" s="1" t="s">
        <v>1022</v>
      </c>
      <c r="E165" s="1" t="s">
        <v>1023</v>
      </c>
      <c r="F165" s="1" t="s">
        <v>42</v>
      </c>
      <c r="G165" s="1" t="s">
        <v>78</v>
      </c>
      <c r="H165" s="1" t="s">
        <v>86</v>
      </c>
      <c r="I165" s="1" t="s">
        <v>25</v>
      </c>
      <c r="J165" s="1" t="s">
        <v>1024</v>
      </c>
      <c r="K165" s="56">
        <f t="shared" ca="1" si="4"/>
        <v>32</v>
      </c>
      <c r="L165" s="79" t="str">
        <f ca="1">_xlfn.XLOOKUP(K165,'Age Range'!A:A,'Age Range'!B:B)</f>
        <v>30-39</v>
      </c>
      <c r="M165" s="8" t="s">
        <v>1025</v>
      </c>
      <c r="N165" s="56">
        <f t="shared" ca="1" si="5"/>
        <v>7</v>
      </c>
      <c r="O165" s="79" t="str">
        <f ca="1">_xlfn.XLOOKUP(N165,'LOS Range'!A:A,'LOS Range'!B:B)</f>
        <v>5 - 9 years</v>
      </c>
      <c r="P165" s="1" t="s">
        <v>28</v>
      </c>
      <c r="Q165" s="1" t="s">
        <v>885</v>
      </c>
      <c r="R165" s="2">
        <v>123321.9084</v>
      </c>
      <c r="S165" s="1">
        <v>31</v>
      </c>
    </row>
    <row r="166" spans="1:19" s="3" customFormat="1" x14ac:dyDescent="0.2">
      <c r="A166" s="1">
        <v>165</v>
      </c>
      <c r="B166" s="1" t="s">
        <v>1026</v>
      </c>
      <c r="C166" s="1" t="s">
        <v>1027</v>
      </c>
      <c r="D166" s="1" t="s">
        <v>1028</v>
      </c>
      <c r="E166" s="1" t="s">
        <v>1029</v>
      </c>
      <c r="F166" s="1" t="s">
        <v>42</v>
      </c>
      <c r="G166" s="1" t="s">
        <v>78</v>
      </c>
      <c r="H166" s="1" t="s">
        <v>86</v>
      </c>
      <c r="I166" s="1" t="s">
        <v>63</v>
      </c>
      <c r="J166" s="1" t="s">
        <v>1030</v>
      </c>
      <c r="K166" s="56">
        <f t="shared" ca="1" si="4"/>
        <v>28</v>
      </c>
      <c r="L166" s="79" t="str">
        <f ca="1">_xlfn.XLOOKUP(K166,'Age Range'!A:A,'Age Range'!B:B)</f>
        <v>20-29</v>
      </c>
      <c r="M166" s="8" t="s">
        <v>1025</v>
      </c>
      <c r="N166" s="56">
        <f t="shared" ca="1" si="5"/>
        <v>7</v>
      </c>
      <c r="O166" s="79" t="str">
        <f ca="1">_xlfn.XLOOKUP(N166,'LOS Range'!A:A,'LOS Range'!B:B)</f>
        <v>5 - 9 years</v>
      </c>
      <c r="P166" s="1" t="s">
        <v>28</v>
      </c>
      <c r="Q166" s="1" t="s">
        <v>885</v>
      </c>
      <c r="R166" s="2">
        <v>145704.09494399998</v>
      </c>
      <c r="S166" s="1">
        <v>32</v>
      </c>
    </row>
    <row r="167" spans="1:19" s="3" customFormat="1" x14ac:dyDescent="0.2">
      <c r="A167" s="1">
        <v>166</v>
      </c>
      <c r="B167" s="1" t="s">
        <v>1031</v>
      </c>
      <c r="C167" s="1" t="s">
        <v>1032</v>
      </c>
      <c r="D167" s="1" t="s">
        <v>1033</v>
      </c>
      <c r="E167" s="1" t="s">
        <v>379</v>
      </c>
      <c r="F167" s="1" t="s">
        <v>42</v>
      </c>
      <c r="G167" s="1" t="s">
        <v>78</v>
      </c>
      <c r="H167" s="1" t="s">
        <v>86</v>
      </c>
      <c r="I167" s="1" t="s">
        <v>25</v>
      </c>
      <c r="J167" s="1" t="s">
        <v>1034</v>
      </c>
      <c r="K167" s="56">
        <f t="shared" ca="1" si="4"/>
        <v>39</v>
      </c>
      <c r="L167" s="79" t="str">
        <f ca="1">_xlfn.XLOOKUP(K167,'Age Range'!A:A,'Age Range'!B:B)</f>
        <v>30-39</v>
      </c>
      <c r="M167" s="8" t="s">
        <v>1035</v>
      </c>
      <c r="N167" s="56">
        <f t="shared" ca="1" si="5"/>
        <v>7</v>
      </c>
      <c r="O167" s="79" t="str">
        <f ca="1">_xlfn.XLOOKUP(N167,'LOS Range'!A:A,'LOS Range'!B:B)</f>
        <v>5 - 9 years</v>
      </c>
      <c r="P167" s="1" t="s">
        <v>28</v>
      </c>
      <c r="Q167" s="1" t="s">
        <v>885</v>
      </c>
      <c r="R167" s="2">
        <v>123321.9084</v>
      </c>
      <c r="S167" s="1">
        <v>33</v>
      </c>
    </row>
    <row r="168" spans="1:19" s="3" customFormat="1" x14ac:dyDescent="0.2">
      <c r="A168" s="1">
        <v>167</v>
      </c>
      <c r="B168" s="1" t="s">
        <v>1036</v>
      </c>
      <c r="C168" s="1" t="s">
        <v>1037</v>
      </c>
      <c r="D168" s="1" t="s">
        <v>1038</v>
      </c>
      <c r="E168" s="1" t="s">
        <v>1039</v>
      </c>
      <c r="F168" s="1" t="s">
        <v>42</v>
      </c>
      <c r="G168" s="1" t="s">
        <v>78</v>
      </c>
      <c r="H168" s="1" t="s">
        <v>86</v>
      </c>
      <c r="I168" s="1" t="s">
        <v>63</v>
      </c>
      <c r="J168" s="1" t="s">
        <v>1040</v>
      </c>
      <c r="K168" s="56">
        <f t="shared" ca="1" si="4"/>
        <v>27</v>
      </c>
      <c r="L168" s="79" t="str">
        <f ca="1">_xlfn.XLOOKUP(K168,'Age Range'!A:A,'Age Range'!B:B)</f>
        <v>20-29</v>
      </c>
      <c r="M168" s="8" t="s">
        <v>1035</v>
      </c>
      <c r="N168" s="56">
        <f t="shared" ca="1" si="5"/>
        <v>7</v>
      </c>
      <c r="O168" s="79" t="str">
        <f ca="1">_xlfn.XLOOKUP(N168,'LOS Range'!A:A,'LOS Range'!B:B)</f>
        <v>5 - 9 years</v>
      </c>
      <c r="P168" s="1" t="s">
        <v>28</v>
      </c>
      <c r="Q168" s="1" t="s">
        <v>885</v>
      </c>
      <c r="R168" s="2">
        <v>132668.14439999999</v>
      </c>
      <c r="S168" s="1">
        <v>34</v>
      </c>
    </row>
    <row r="169" spans="1:19" s="3" customFormat="1" x14ac:dyDescent="0.2">
      <c r="A169" s="1">
        <v>168</v>
      </c>
      <c r="B169" s="1" t="s">
        <v>1041</v>
      </c>
      <c r="C169" s="1" t="s">
        <v>1042</v>
      </c>
      <c r="D169" s="1" t="s">
        <v>1043</v>
      </c>
      <c r="E169" s="1" t="s">
        <v>172</v>
      </c>
      <c r="F169" s="1" t="s">
        <v>42</v>
      </c>
      <c r="G169" s="1" t="s">
        <v>78</v>
      </c>
      <c r="H169" s="1" t="s">
        <v>86</v>
      </c>
      <c r="I169" s="1" t="s">
        <v>25</v>
      </c>
      <c r="J169" s="1" t="s">
        <v>1044</v>
      </c>
      <c r="K169" s="56">
        <f t="shared" ca="1" si="4"/>
        <v>27</v>
      </c>
      <c r="L169" s="79" t="str">
        <f ca="1">_xlfn.XLOOKUP(K169,'Age Range'!A:A,'Age Range'!B:B)</f>
        <v>20-29</v>
      </c>
      <c r="M169" s="8" t="s">
        <v>1035</v>
      </c>
      <c r="N169" s="56">
        <f t="shared" ca="1" si="5"/>
        <v>7</v>
      </c>
      <c r="O169" s="79" t="str">
        <f ca="1">_xlfn.XLOOKUP(N169,'LOS Range'!A:A,'LOS Range'!B:B)</f>
        <v>5 - 9 years</v>
      </c>
      <c r="P169" s="1" t="s">
        <v>56</v>
      </c>
      <c r="Q169" s="1" t="s">
        <v>885</v>
      </c>
      <c r="R169" s="4">
        <v>132668.14439999999</v>
      </c>
      <c r="S169" s="1">
        <v>35</v>
      </c>
    </row>
    <row r="170" spans="1:19" s="3" customFormat="1" x14ac:dyDescent="0.2">
      <c r="A170" s="1">
        <v>169</v>
      </c>
      <c r="B170" s="1" t="s">
        <v>1045</v>
      </c>
      <c r="C170" s="1" t="s">
        <v>1046</v>
      </c>
      <c r="D170" s="1" t="s">
        <v>1047</v>
      </c>
      <c r="E170" s="1" t="s">
        <v>1048</v>
      </c>
      <c r="F170" s="1" t="s">
        <v>42</v>
      </c>
      <c r="G170" s="1" t="s">
        <v>78</v>
      </c>
      <c r="H170" s="1" t="s">
        <v>86</v>
      </c>
      <c r="I170" s="1" t="s">
        <v>63</v>
      </c>
      <c r="J170" s="1" t="s">
        <v>1049</v>
      </c>
      <c r="K170" s="56">
        <f t="shared" ca="1" si="4"/>
        <v>29</v>
      </c>
      <c r="L170" s="79" t="str">
        <f ca="1">_xlfn.XLOOKUP(K170,'Age Range'!A:A,'Age Range'!B:B)</f>
        <v>20-29</v>
      </c>
      <c r="M170" s="8" t="s">
        <v>1035</v>
      </c>
      <c r="N170" s="56">
        <f t="shared" ca="1" si="5"/>
        <v>7</v>
      </c>
      <c r="O170" s="79" t="str">
        <f ca="1">_xlfn.XLOOKUP(N170,'LOS Range'!A:A,'LOS Range'!B:B)</f>
        <v>5 - 9 years</v>
      </c>
      <c r="P170" s="1" t="s">
        <v>28</v>
      </c>
      <c r="Q170" s="1" t="s">
        <v>885</v>
      </c>
      <c r="R170" s="2">
        <v>133613.64091199997</v>
      </c>
      <c r="S170" s="1">
        <v>90</v>
      </c>
    </row>
    <row r="171" spans="1:19" s="3" customFormat="1" x14ac:dyDescent="0.2">
      <c r="A171" s="1">
        <v>170</v>
      </c>
      <c r="B171" s="1" t="s">
        <v>1050</v>
      </c>
      <c r="C171" s="1" t="s">
        <v>1051</v>
      </c>
      <c r="D171" s="1" t="s">
        <v>1052</v>
      </c>
      <c r="E171" s="1" t="s">
        <v>1053</v>
      </c>
      <c r="F171" s="1" t="s">
        <v>42</v>
      </c>
      <c r="G171" s="1" t="s">
        <v>78</v>
      </c>
      <c r="H171" s="1" t="s">
        <v>86</v>
      </c>
      <c r="I171" s="1" t="s">
        <v>25</v>
      </c>
      <c r="J171" s="1" t="s">
        <v>1054</v>
      </c>
      <c r="K171" s="56">
        <f t="shared" ca="1" si="4"/>
        <v>29</v>
      </c>
      <c r="L171" s="79" t="str">
        <f ca="1">_xlfn.XLOOKUP(K171,'Age Range'!A:A,'Age Range'!B:B)</f>
        <v>20-29</v>
      </c>
      <c r="M171" s="8" t="s">
        <v>1035</v>
      </c>
      <c r="N171" s="56">
        <f t="shared" ca="1" si="5"/>
        <v>7</v>
      </c>
      <c r="O171" s="79" t="str">
        <f ca="1">_xlfn.XLOOKUP(N171,'LOS Range'!A:A,'LOS Range'!B:B)</f>
        <v>5 - 9 years</v>
      </c>
      <c r="P171" s="1" t="s">
        <v>56</v>
      </c>
      <c r="Q171" s="1" t="s">
        <v>885</v>
      </c>
      <c r="R171" s="2">
        <v>126068.0634</v>
      </c>
      <c r="S171" s="1">
        <v>91</v>
      </c>
    </row>
    <row r="172" spans="1:19" s="3" customFormat="1" x14ac:dyDescent="0.2">
      <c r="A172" s="1">
        <v>171</v>
      </c>
      <c r="B172" s="1" t="s">
        <v>1055</v>
      </c>
      <c r="C172" s="1" t="s">
        <v>1056</v>
      </c>
      <c r="D172" s="1" t="s">
        <v>1057</v>
      </c>
      <c r="E172" s="1" t="s">
        <v>1058</v>
      </c>
      <c r="F172" s="1" t="s">
        <v>42</v>
      </c>
      <c r="G172" s="1" t="s">
        <v>78</v>
      </c>
      <c r="H172" s="1" t="s">
        <v>86</v>
      </c>
      <c r="I172" s="1" t="s">
        <v>63</v>
      </c>
      <c r="J172" s="1" t="s">
        <v>1059</v>
      </c>
      <c r="K172" s="56">
        <f t="shared" ca="1" si="4"/>
        <v>29</v>
      </c>
      <c r="L172" s="79" t="str">
        <f ca="1">_xlfn.XLOOKUP(K172,'Age Range'!A:A,'Age Range'!B:B)</f>
        <v>20-29</v>
      </c>
      <c r="M172" s="8" t="s">
        <v>1035</v>
      </c>
      <c r="N172" s="56">
        <f t="shared" ca="1" si="5"/>
        <v>7</v>
      </c>
      <c r="O172" s="79" t="str">
        <f ca="1">_xlfn.XLOOKUP(N172,'LOS Range'!A:A,'LOS Range'!B:B)</f>
        <v>5 - 9 years</v>
      </c>
      <c r="P172" s="1" t="s">
        <v>28</v>
      </c>
      <c r="Q172" s="1" t="s">
        <v>885</v>
      </c>
      <c r="R172" s="2">
        <v>123321.9084</v>
      </c>
      <c r="S172" s="1">
        <v>92</v>
      </c>
    </row>
    <row r="173" spans="1:19" s="3" customFormat="1" x14ac:dyDescent="0.2">
      <c r="A173" s="1">
        <v>172</v>
      </c>
      <c r="B173" s="1" t="s">
        <v>1060</v>
      </c>
      <c r="C173" s="1" t="s">
        <v>1061</v>
      </c>
      <c r="D173" s="1" t="s">
        <v>1057</v>
      </c>
      <c r="E173" s="1" t="s">
        <v>1062</v>
      </c>
      <c r="F173" s="1" t="s">
        <v>42</v>
      </c>
      <c r="G173" s="1" t="s">
        <v>221</v>
      </c>
      <c r="H173" s="1" t="s">
        <v>896</v>
      </c>
      <c r="I173" s="1" t="s">
        <v>25</v>
      </c>
      <c r="J173" s="1" t="s">
        <v>1063</v>
      </c>
      <c r="K173" s="56">
        <f t="shared" ca="1" si="4"/>
        <v>45</v>
      </c>
      <c r="L173" s="79" t="str">
        <f ca="1">_xlfn.XLOOKUP(K173,'Age Range'!A:A,'Age Range'!B:B)</f>
        <v>40-49</v>
      </c>
      <c r="M173" s="8" t="s">
        <v>1064</v>
      </c>
      <c r="N173" s="56">
        <f t="shared" ca="1" si="5"/>
        <v>7</v>
      </c>
      <c r="O173" s="79" t="str">
        <f ca="1">_xlfn.XLOOKUP(N173,'LOS Range'!A:A,'LOS Range'!B:B)</f>
        <v>5 - 9 years</v>
      </c>
      <c r="P173" s="1" t="s">
        <v>28</v>
      </c>
      <c r="Q173" s="1" t="s">
        <v>885</v>
      </c>
      <c r="R173" s="2">
        <v>146606.51009999998</v>
      </c>
      <c r="S173" s="1">
        <v>93</v>
      </c>
    </row>
    <row r="174" spans="1:19" s="3" customFormat="1" x14ac:dyDescent="0.2">
      <c r="A174" s="1">
        <v>173</v>
      </c>
      <c r="B174" s="1" t="s">
        <v>1065</v>
      </c>
      <c r="C174" s="1" t="s">
        <v>1066</v>
      </c>
      <c r="D174" s="1" t="s">
        <v>1057</v>
      </c>
      <c r="E174" s="1" t="s">
        <v>1067</v>
      </c>
      <c r="F174" s="1" t="s">
        <v>42</v>
      </c>
      <c r="G174" s="1" t="s">
        <v>52</v>
      </c>
      <c r="H174" s="1" t="s">
        <v>273</v>
      </c>
      <c r="I174" s="1" t="s">
        <v>63</v>
      </c>
      <c r="J174" s="1" t="s">
        <v>1068</v>
      </c>
      <c r="K174" s="56">
        <f t="shared" ca="1" si="4"/>
        <v>35</v>
      </c>
      <c r="L174" s="79" t="str">
        <f ca="1">_xlfn.XLOOKUP(K174,'Age Range'!A:A,'Age Range'!B:B)</f>
        <v>30-39</v>
      </c>
      <c r="M174" s="8" t="s">
        <v>1064</v>
      </c>
      <c r="N174" s="56">
        <f t="shared" ca="1" si="5"/>
        <v>7</v>
      </c>
      <c r="O174" s="79" t="str">
        <f ca="1">_xlfn.XLOOKUP(N174,'LOS Range'!A:A,'LOS Range'!B:B)</f>
        <v>5 - 9 years</v>
      </c>
      <c r="P174" s="1" t="s">
        <v>185</v>
      </c>
      <c r="Q174" s="1" t="s">
        <v>885</v>
      </c>
      <c r="R174" s="2">
        <v>103516.07999999999</v>
      </c>
      <c r="S174" s="1">
        <v>94</v>
      </c>
    </row>
    <row r="175" spans="1:19" s="3" customFormat="1" x14ac:dyDescent="0.2">
      <c r="A175" s="1">
        <v>174</v>
      </c>
      <c r="B175" s="1" t="s">
        <v>1069</v>
      </c>
      <c r="C175" s="1" t="s">
        <v>1070</v>
      </c>
      <c r="D175" s="1" t="s">
        <v>1057</v>
      </c>
      <c r="E175" s="1" t="s">
        <v>1071</v>
      </c>
      <c r="F175" s="1" t="s">
        <v>42</v>
      </c>
      <c r="G175" s="1" t="s">
        <v>52</v>
      </c>
      <c r="H175" s="1" t="s">
        <v>1072</v>
      </c>
      <c r="I175" s="1" t="s">
        <v>25</v>
      </c>
      <c r="J175" s="1" t="s">
        <v>1073</v>
      </c>
      <c r="K175" s="56">
        <f t="shared" ca="1" si="4"/>
        <v>36</v>
      </c>
      <c r="L175" s="79" t="str">
        <f ca="1">_xlfn.XLOOKUP(K175,'Age Range'!A:A,'Age Range'!B:B)</f>
        <v>30-39</v>
      </c>
      <c r="M175" s="8" t="s">
        <v>1064</v>
      </c>
      <c r="N175" s="56">
        <f t="shared" ca="1" si="5"/>
        <v>7</v>
      </c>
      <c r="O175" s="79" t="str">
        <f ca="1">_xlfn.XLOOKUP(N175,'LOS Range'!A:A,'LOS Range'!B:B)</f>
        <v>5 - 9 years</v>
      </c>
      <c r="P175" s="1" t="s">
        <v>1074</v>
      </c>
      <c r="Q175" s="1" t="s">
        <v>885</v>
      </c>
      <c r="R175" s="2">
        <v>101581.2</v>
      </c>
      <c r="S175" s="1">
        <v>95</v>
      </c>
    </row>
    <row r="176" spans="1:19" s="3" customFormat="1" x14ac:dyDescent="0.2">
      <c r="A176" s="1">
        <v>175</v>
      </c>
      <c r="B176" s="1" t="s">
        <v>1075</v>
      </c>
      <c r="C176" s="1" t="s">
        <v>1076</v>
      </c>
      <c r="D176" s="1" t="s">
        <v>1077</v>
      </c>
      <c r="E176" s="1" t="s">
        <v>807</v>
      </c>
      <c r="F176" s="1" t="s">
        <v>42</v>
      </c>
      <c r="G176" s="1" t="s">
        <v>52</v>
      </c>
      <c r="H176" s="1" t="s">
        <v>1000</v>
      </c>
      <c r="I176" s="1" t="s">
        <v>63</v>
      </c>
      <c r="J176" s="1" t="s">
        <v>1078</v>
      </c>
      <c r="K176" s="56">
        <f t="shared" ca="1" si="4"/>
        <v>39</v>
      </c>
      <c r="L176" s="79" t="str">
        <f ca="1">_xlfn.XLOOKUP(K176,'Age Range'!A:A,'Age Range'!B:B)</f>
        <v>30-39</v>
      </c>
      <c r="M176" s="8" t="s">
        <v>1064</v>
      </c>
      <c r="N176" s="56">
        <f t="shared" ca="1" si="5"/>
        <v>7</v>
      </c>
      <c r="O176" s="79" t="str">
        <f ca="1">_xlfn.XLOOKUP(N176,'LOS Range'!A:A,'LOS Range'!B:B)</f>
        <v>5 - 9 years</v>
      </c>
      <c r="P176" s="1" t="s">
        <v>121</v>
      </c>
      <c r="Q176" s="1" t="s">
        <v>885</v>
      </c>
      <c r="R176" s="2">
        <v>103516.07999999999</v>
      </c>
      <c r="S176" s="1">
        <v>80</v>
      </c>
    </row>
    <row r="177" spans="1:19" s="3" customFormat="1" x14ac:dyDescent="0.2">
      <c r="A177" s="1">
        <v>176</v>
      </c>
      <c r="B177" s="1" t="s">
        <v>1079</v>
      </c>
      <c r="C177" s="1" t="s">
        <v>1080</v>
      </c>
      <c r="D177" s="1" t="s">
        <v>1081</v>
      </c>
      <c r="E177" s="1" t="s">
        <v>1067</v>
      </c>
      <c r="F177" s="1" t="s">
        <v>42</v>
      </c>
      <c r="G177" s="1" t="s">
        <v>78</v>
      </c>
      <c r="H177" s="1" t="s">
        <v>86</v>
      </c>
      <c r="I177" s="1" t="s">
        <v>63</v>
      </c>
      <c r="J177" s="1" t="s">
        <v>1082</v>
      </c>
      <c r="K177" s="56">
        <f t="shared" ca="1" si="4"/>
        <v>41</v>
      </c>
      <c r="L177" s="79" t="str">
        <f ca="1">_xlfn.XLOOKUP(K177,'Age Range'!A:A,'Age Range'!B:B)</f>
        <v>40-49</v>
      </c>
      <c r="M177" s="8" t="s">
        <v>1064</v>
      </c>
      <c r="N177" s="56">
        <f t="shared" ca="1" si="5"/>
        <v>7</v>
      </c>
      <c r="O177" s="79" t="str">
        <f ca="1">_xlfn.XLOOKUP(N177,'LOS Range'!A:A,'LOS Range'!B:B)</f>
        <v>5 - 9 years</v>
      </c>
      <c r="P177" s="1" t="s">
        <v>28</v>
      </c>
      <c r="Q177" s="1" t="s">
        <v>885</v>
      </c>
      <c r="R177" s="2">
        <v>127871.849712</v>
      </c>
      <c r="S177" s="1">
        <v>81</v>
      </c>
    </row>
    <row r="178" spans="1:19" s="3" customFormat="1" x14ac:dyDescent="0.2">
      <c r="A178" s="1">
        <v>177</v>
      </c>
      <c r="B178" s="1" t="s">
        <v>1083</v>
      </c>
      <c r="C178" s="1" t="s">
        <v>1084</v>
      </c>
      <c r="D178" s="1" t="s">
        <v>1085</v>
      </c>
      <c r="E178" s="1" t="s">
        <v>51</v>
      </c>
      <c r="F178" s="1" t="s">
        <v>42</v>
      </c>
      <c r="G178" s="1" t="s">
        <v>78</v>
      </c>
      <c r="H178" s="1" t="s">
        <v>86</v>
      </c>
      <c r="I178" s="1" t="s">
        <v>63</v>
      </c>
      <c r="J178" s="1" t="s">
        <v>1086</v>
      </c>
      <c r="K178" s="56">
        <f t="shared" ca="1" si="4"/>
        <v>27</v>
      </c>
      <c r="L178" s="79" t="str">
        <f ca="1">_xlfn.XLOOKUP(K178,'Age Range'!A:A,'Age Range'!B:B)</f>
        <v>20-29</v>
      </c>
      <c r="M178" s="8" t="s">
        <v>1064</v>
      </c>
      <c r="N178" s="56">
        <f t="shared" ca="1" si="5"/>
        <v>7</v>
      </c>
      <c r="O178" s="79" t="str">
        <f ca="1">_xlfn.XLOOKUP(N178,'LOS Range'!A:A,'LOS Range'!B:B)</f>
        <v>5 - 9 years</v>
      </c>
      <c r="P178" s="1" t="s">
        <v>121</v>
      </c>
      <c r="Q178" s="1" t="s">
        <v>885</v>
      </c>
      <c r="R178" s="2">
        <v>120473.28375599999</v>
      </c>
      <c r="S178" s="1">
        <v>82</v>
      </c>
    </row>
    <row r="179" spans="1:19" s="3" customFormat="1" x14ac:dyDescent="0.2">
      <c r="A179" s="1">
        <v>178</v>
      </c>
      <c r="B179" s="1" t="s">
        <v>1087</v>
      </c>
      <c r="C179" s="1" t="s">
        <v>1088</v>
      </c>
      <c r="D179" s="1" t="s">
        <v>1089</v>
      </c>
      <c r="E179" s="1" t="s">
        <v>603</v>
      </c>
      <c r="F179" s="1" t="s">
        <v>42</v>
      </c>
      <c r="G179" s="1" t="s">
        <v>78</v>
      </c>
      <c r="H179" s="1" t="s">
        <v>86</v>
      </c>
      <c r="I179" s="1" t="s">
        <v>63</v>
      </c>
      <c r="J179" s="1" t="s">
        <v>1090</v>
      </c>
      <c r="K179" s="56">
        <f t="shared" ca="1" si="4"/>
        <v>56</v>
      </c>
      <c r="L179" s="79" t="str">
        <f ca="1">_xlfn.XLOOKUP(K179,'Age Range'!A:A,'Age Range'!B:B)</f>
        <v>56-70</v>
      </c>
      <c r="M179" s="8" t="s">
        <v>1091</v>
      </c>
      <c r="N179" s="56">
        <f t="shared" ca="1" si="5"/>
        <v>7</v>
      </c>
      <c r="O179" s="79" t="str">
        <f ca="1">_xlfn.XLOOKUP(N179,'LOS Range'!A:A,'LOS Range'!B:B)</f>
        <v>5 - 9 years</v>
      </c>
      <c r="P179" s="1" t="s">
        <v>28</v>
      </c>
      <c r="Q179" s="1" t="s">
        <v>885</v>
      </c>
      <c r="R179" s="2">
        <v>135122.963544</v>
      </c>
      <c r="S179" s="1">
        <v>83</v>
      </c>
    </row>
    <row r="180" spans="1:19" s="3" customFormat="1" x14ac:dyDescent="0.2">
      <c r="A180" s="1">
        <v>179</v>
      </c>
      <c r="B180" s="1" t="s">
        <v>1092</v>
      </c>
      <c r="C180" s="1" t="s">
        <v>1093</v>
      </c>
      <c r="D180" s="1" t="s">
        <v>1089</v>
      </c>
      <c r="E180" s="1" t="s">
        <v>1094</v>
      </c>
      <c r="F180" s="1" t="s">
        <v>42</v>
      </c>
      <c r="G180" s="1" t="s">
        <v>78</v>
      </c>
      <c r="H180" s="1" t="s">
        <v>86</v>
      </c>
      <c r="I180" s="1" t="s">
        <v>63</v>
      </c>
      <c r="J180" s="1" t="s">
        <v>1095</v>
      </c>
      <c r="K180" s="56">
        <f t="shared" ca="1" si="4"/>
        <v>37</v>
      </c>
      <c r="L180" s="79" t="str">
        <f ca="1">_xlfn.XLOOKUP(K180,'Age Range'!A:A,'Age Range'!B:B)</f>
        <v>30-39</v>
      </c>
      <c r="M180" s="8" t="s">
        <v>1091</v>
      </c>
      <c r="N180" s="56">
        <f t="shared" ca="1" si="5"/>
        <v>7</v>
      </c>
      <c r="O180" s="79" t="str">
        <f ca="1">_xlfn.XLOOKUP(N180,'LOS Range'!A:A,'LOS Range'!B:B)</f>
        <v>5 - 9 years</v>
      </c>
      <c r="P180" s="1" t="s">
        <v>121</v>
      </c>
      <c r="Q180" s="1" t="s">
        <v>885</v>
      </c>
      <c r="R180" s="2">
        <v>116143.105488</v>
      </c>
      <c r="S180" s="1">
        <v>84</v>
      </c>
    </row>
    <row r="181" spans="1:19" s="3" customFormat="1" x14ac:dyDescent="0.2">
      <c r="A181" s="1">
        <v>180</v>
      </c>
      <c r="B181" s="1" t="s">
        <v>1096</v>
      </c>
      <c r="C181" s="1" t="s">
        <v>1097</v>
      </c>
      <c r="D181" s="1" t="s">
        <v>1098</v>
      </c>
      <c r="E181" s="1" t="s">
        <v>1099</v>
      </c>
      <c r="F181" s="1" t="s">
        <v>61</v>
      </c>
      <c r="G181" s="1" t="s">
        <v>78</v>
      </c>
      <c r="H181" s="1" t="s">
        <v>1100</v>
      </c>
      <c r="I181" s="1" t="s">
        <v>63</v>
      </c>
      <c r="J181" s="1" t="s">
        <v>1101</v>
      </c>
      <c r="K181" s="56">
        <f t="shared" ca="1" si="4"/>
        <v>30</v>
      </c>
      <c r="L181" s="79" t="str">
        <f ca="1">_xlfn.XLOOKUP(K181,'Age Range'!A:A,'Age Range'!B:B)</f>
        <v>30-39</v>
      </c>
      <c r="M181" s="8" t="s">
        <v>1102</v>
      </c>
      <c r="N181" s="56">
        <f t="shared" ca="1" si="5"/>
        <v>7</v>
      </c>
      <c r="O181" s="79" t="str">
        <f ca="1">_xlfn.XLOOKUP(N181,'LOS Range'!A:A,'LOS Range'!B:B)</f>
        <v>5 - 9 years</v>
      </c>
      <c r="P181" s="1" t="s">
        <v>28</v>
      </c>
      <c r="Q181" s="1" t="s">
        <v>29</v>
      </c>
      <c r="R181" s="2">
        <v>147736.71</v>
      </c>
      <c r="S181" s="1">
        <v>85</v>
      </c>
    </row>
    <row r="182" spans="1:19" s="3" customFormat="1" x14ac:dyDescent="0.2">
      <c r="A182" s="1">
        <v>181</v>
      </c>
      <c r="B182" s="1" t="s">
        <v>1103</v>
      </c>
      <c r="C182" s="1" t="s">
        <v>1104</v>
      </c>
      <c r="D182" s="1" t="s">
        <v>1105</v>
      </c>
      <c r="E182" s="1" t="s">
        <v>1106</v>
      </c>
      <c r="F182" s="1" t="s">
        <v>42</v>
      </c>
      <c r="G182" s="1" t="s">
        <v>572</v>
      </c>
      <c r="H182" s="1" t="s">
        <v>1107</v>
      </c>
      <c r="I182" s="1" t="s">
        <v>63</v>
      </c>
      <c r="J182" s="1" t="s">
        <v>1108</v>
      </c>
      <c r="K182" s="56">
        <f t="shared" ca="1" si="4"/>
        <v>34</v>
      </c>
      <c r="L182" s="79" t="str">
        <f ca="1">_xlfn.XLOOKUP(K182,'Age Range'!A:A,'Age Range'!B:B)</f>
        <v>30-39</v>
      </c>
      <c r="M182" s="8" t="s">
        <v>1109</v>
      </c>
      <c r="N182" s="56">
        <f t="shared" ca="1" si="5"/>
        <v>6</v>
      </c>
      <c r="O182" s="79" t="str">
        <f ca="1">_xlfn.XLOOKUP(N182,'LOS Range'!A:A,'LOS Range'!B:B)</f>
        <v>5 - 9 years</v>
      </c>
      <c r="P182" s="1" t="s">
        <v>28</v>
      </c>
      <c r="Q182" s="1" t="s">
        <v>29</v>
      </c>
      <c r="R182" s="2">
        <v>491765.28</v>
      </c>
      <c r="S182" s="1">
        <v>70</v>
      </c>
    </row>
    <row r="183" spans="1:19" s="3" customFormat="1" x14ac:dyDescent="0.2">
      <c r="A183" s="1">
        <v>182</v>
      </c>
      <c r="B183" s="1" t="s">
        <v>1110</v>
      </c>
      <c r="C183" s="1" t="s">
        <v>1111</v>
      </c>
      <c r="D183" s="1" t="s">
        <v>1112</v>
      </c>
      <c r="E183" s="1" t="s">
        <v>1113</v>
      </c>
      <c r="F183" s="1" t="s">
        <v>42</v>
      </c>
      <c r="G183" s="1" t="s">
        <v>78</v>
      </c>
      <c r="H183" s="1" t="s">
        <v>79</v>
      </c>
      <c r="I183" s="1" t="s">
        <v>63</v>
      </c>
      <c r="J183" s="1" t="s">
        <v>1114</v>
      </c>
      <c r="K183" s="56">
        <f t="shared" ca="1" si="4"/>
        <v>42</v>
      </c>
      <c r="L183" s="79" t="str">
        <f ca="1">_xlfn.XLOOKUP(K183,'Age Range'!A:A,'Age Range'!B:B)</f>
        <v>40-49</v>
      </c>
      <c r="M183" s="8" t="s">
        <v>1115</v>
      </c>
      <c r="N183" s="56">
        <f t="shared" ca="1" si="5"/>
        <v>7</v>
      </c>
      <c r="O183" s="79" t="str">
        <f ca="1">_xlfn.XLOOKUP(N183,'LOS Range'!A:A,'LOS Range'!B:B)</f>
        <v>5 - 9 years</v>
      </c>
      <c r="P183" s="1" t="s">
        <v>28</v>
      </c>
      <c r="Q183" s="1" t="s">
        <v>29</v>
      </c>
      <c r="R183" s="2">
        <v>148038.437328</v>
      </c>
      <c r="S183" s="1">
        <v>71</v>
      </c>
    </row>
    <row r="184" spans="1:19" s="3" customFormat="1" x14ac:dyDescent="0.2">
      <c r="A184" s="1">
        <v>183</v>
      </c>
      <c r="B184" s="1" t="s">
        <v>1116</v>
      </c>
      <c r="C184" s="1" t="s">
        <v>1117</v>
      </c>
      <c r="D184" s="1" t="s">
        <v>1112</v>
      </c>
      <c r="E184" s="1" t="s">
        <v>1118</v>
      </c>
      <c r="F184" s="1" t="s">
        <v>42</v>
      </c>
      <c r="G184" s="1" t="s">
        <v>221</v>
      </c>
      <c r="H184" s="1" t="s">
        <v>1119</v>
      </c>
      <c r="I184" s="1" t="s">
        <v>63</v>
      </c>
      <c r="J184" s="1" t="s">
        <v>1120</v>
      </c>
      <c r="K184" s="56">
        <f t="shared" ca="1" si="4"/>
        <v>30</v>
      </c>
      <c r="L184" s="79" t="str">
        <f ca="1">_xlfn.XLOOKUP(K184,'Age Range'!A:A,'Age Range'!B:B)</f>
        <v>30-39</v>
      </c>
      <c r="M184" s="8" t="s">
        <v>1121</v>
      </c>
      <c r="N184" s="56">
        <f t="shared" ca="1" si="5"/>
        <v>7</v>
      </c>
      <c r="O184" s="79" t="str">
        <f ca="1">_xlfn.XLOOKUP(N184,'LOS Range'!A:A,'LOS Range'!B:B)</f>
        <v>5 - 9 years</v>
      </c>
      <c r="P184" s="1" t="s">
        <v>28</v>
      </c>
      <c r="Q184" s="1" t="s">
        <v>818</v>
      </c>
      <c r="R184" s="2">
        <v>2337000</v>
      </c>
      <c r="S184" s="1">
        <v>72</v>
      </c>
    </row>
    <row r="185" spans="1:19" s="3" customFormat="1" x14ac:dyDescent="0.2">
      <c r="A185" s="1">
        <v>184</v>
      </c>
      <c r="B185" s="1" t="s">
        <v>1122</v>
      </c>
      <c r="C185" s="1" t="s">
        <v>1123</v>
      </c>
      <c r="D185" s="1" t="s">
        <v>1124</v>
      </c>
      <c r="E185" s="1" t="s">
        <v>1125</v>
      </c>
      <c r="F185" s="1" t="s">
        <v>42</v>
      </c>
      <c r="G185" s="1" t="s">
        <v>656</v>
      </c>
      <c r="H185" s="1" t="s">
        <v>1126</v>
      </c>
      <c r="I185" s="1" t="s">
        <v>63</v>
      </c>
      <c r="J185" s="1" t="s">
        <v>1127</v>
      </c>
      <c r="K185" s="56">
        <f t="shared" ca="1" si="4"/>
        <v>39</v>
      </c>
      <c r="L185" s="79" t="str">
        <f ca="1">_xlfn.XLOOKUP(K185,'Age Range'!A:A,'Age Range'!B:B)</f>
        <v>30-39</v>
      </c>
      <c r="M185" s="8" t="s">
        <v>1128</v>
      </c>
      <c r="N185" s="56">
        <f t="shared" ca="1" si="5"/>
        <v>6</v>
      </c>
      <c r="O185" s="79" t="str">
        <f ca="1">_xlfn.XLOOKUP(N185,'LOS Range'!A:A,'LOS Range'!B:B)</f>
        <v>5 - 9 years</v>
      </c>
      <c r="P185" s="1" t="s">
        <v>66</v>
      </c>
      <c r="Q185" s="1" t="s">
        <v>818</v>
      </c>
      <c r="R185" s="2">
        <v>3445506.79</v>
      </c>
      <c r="S185" s="1">
        <v>73</v>
      </c>
    </row>
    <row r="186" spans="1:19" s="3" customFormat="1" x14ac:dyDescent="0.2">
      <c r="A186" s="1">
        <v>185</v>
      </c>
      <c r="B186" s="1" t="s">
        <v>1129</v>
      </c>
      <c r="C186" s="1" t="s">
        <v>1130</v>
      </c>
      <c r="D186" s="1" t="s">
        <v>1131</v>
      </c>
      <c r="E186" s="1" t="s">
        <v>1132</v>
      </c>
      <c r="F186" s="1" t="s">
        <v>42</v>
      </c>
      <c r="G186" s="1" t="s">
        <v>78</v>
      </c>
      <c r="H186" s="1" t="s">
        <v>79</v>
      </c>
      <c r="I186" s="1" t="s">
        <v>63</v>
      </c>
      <c r="J186" s="1" t="s">
        <v>1133</v>
      </c>
      <c r="K186" s="56">
        <f t="shared" ca="1" si="4"/>
        <v>33</v>
      </c>
      <c r="L186" s="79" t="str">
        <f ca="1">_xlfn.XLOOKUP(K186,'Age Range'!A:A,'Age Range'!B:B)</f>
        <v>30-39</v>
      </c>
      <c r="M186" s="8" t="s">
        <v>1134</v>
      </c>
      <c r="N186" s="56">
        <f t="shared" ca="1" si="5"/>
        <v>6</v>
      </c>
      <c r="O186" s="79" t="str">
        <f ca="1">_xlfn.XLOOKUP(N186,'LOS Range'!A:A,'LOS Range'!B:B)</f>
        <v>5 - 9 years</v>
      </c>
      <c r="P186" s="1" t="s">
        <v>28</v>
      </c>
      <c r="Q186" s="1" t="s">
        <v>885</v>
      </c>
      <c r="R186" s="2">
        <v>168054.74398799997</v>
      </c>
      <c r="S186" s="1">
        <v>74</v>
      </c>
    </row>
    <row r="187" spans="1:19" s="3" customFormat="1" x14ac:dyDescent="0.2">
      <c r="A187" s="1">
        <v>186</v>
      </c>
      <c r="B187" s="1" t="s">
        <v>1135</v>
      </c>
      <c r="C187" s="1" t="s">
        <v>1136</v>
      </c>
      <c r="D187" s="1" t="s">
        <v>1137</v>
      </c>
      <c r="E187" s="1" t="s">
        <v>1138</v>
      </c>
      <c r="F187" s="1" t="s">
        <v>42</v>
      </c>
      <c r="G187" s="1" t="s">
        <v>78</v>
      </c>
      <c r="H187" s="1" t="s">
        <v>131</v>
      </c>
      <c r="I187" s="1" t="s">
        <v>63</v>
      </c>
      <c r="J187" s="1" t="s">
        <v>1139</v>
      </c>
      <c r="K187" s="56">
        <f t="shared" ca="1" si="4"/>
        <v>30</v>
      </c>
      <c r="L187" s="79" t="str">
        <f ca="1">_xlfn.XLOOKUP(K187,'Age Range'!A:A,'Age Range'!B:B)</f>
        <v>30-39</v>
      </c>
      <c r="M187" s="8" t="s">
        <v>1140</v>
      </c>
      <c r="N187" s="56">
        <f t="shared" ca="1" si="5"/>
        <v>6</v>
      </c>
      <c r="O187" s="79" t="str">
        <f ca="1">_xlfn.XLOOKUP(N187,'LOS Range'!A:A,'LOS Range'!B:B)</f>
        <v>5 - 9 years</v>
      </c>
      <c r="P187" s="1" t="s">
        <v>870</v>
      </c>
      <c r="Q187" s="1" t="s">
        <v>561</v>
      </c>
      <c r="R187" s="2">
        <v>384895.98445595836</v>
      </c>
      <c r="S187" s="1">
        <v>75</v>
      </c>
    </row>
    <row r="188" spans="1:19" s="3" customFormat="1" x14ac:dyDescent="0.2">
      <c r="A188" s="1">
        <v>187</v>
      </c>
      <c r="B188" s="1" t="s">
        <v>1141</v>
      </c>
      <c r="C188" s="1" t="s">
        <v>1142</v>
      </c>
      <c r="D188" s="1" t="s">
        <v>1143</v>
      </c>
      <c r="E188" s="1" t="s">
        <v>1144</v>
      </c>
      <c r="F188" s="1" t="s">
        <v>42</v>
      </c>
      <c r="G188" s="1" t="s">
        <v>78</v>
      </c>
      <c r="H188" s="1" t="s">
        <v>539</v>
      </c>
      <c r="I188" s="1" t="s">
        <v>63</v>
      </c>
      <c r="J188" s="1" t="s">
        <v>1145</v>
      </c>
      <c r="K188" s="56">
        <f t="shared" ca="1" si="4"/>
        <v>33</v>
      </c>
      <c r="L188" s="79" t="str">
        <f ca="1">_xlfn.XLOOKUP(K188,'Age Range'!A:A,'Age Range'!B:B)</f>
        <v>30-39</v>
      </c>
      <c r="M188" s="8" t="s">
        <v>1146</v>
      </c>
      <c r="N188" s="56">
        <f t="shared" ca="1" si="5"/>
        <v>6</v>
      </c>
      <c r="O188" s="79" t="str">
        <f ca="1">_xlfn.XLOOKUP(N188,'LOS Range'!A:A,'LOS Range'!B:B)</f>
        <v>5 - 9 years</v>
      </c>
      <c r="P188" s="1" t="s">
        <v>28</v>
      </c>
      <c r="Q188" s="1" t="s">
        <v>561</v>
      </c>
      <c r="R188" s="2">
        <v>384895.98445595836</v>
      </c>
      <c r="S188" s="1">
        <v>60</v>
      </c>
    </row>
    <row r="189" spans="1:19" s="3" customFormat="1" x14ac:dyDescent="0.2">
      <c r="A189" s="1">
        <v>188</v>
      </c>
      <c r="B189" s="1" t="s">
        <v>1147</v>
      </c>
      <c r="C189" s="1" t="s">
        <v>1148</v>
      </c>
      <c r="D189" s="1" t="s">
        <v>1143</v>
      </c>
      <c r="E189" s="1" t="s">
        <v>1149</v>
      </c>
      <c r="F189" s="1" t="s">
        <v>42</v>
      </c>
      <c r="G189" s="1" t="s">
        <v>78</v>
      </c>
      <c r="H189" s="1" t="s">
        <v>539</v>
      </c>
      <c r="I189" s="1" t="s">
        <v>63</v>
      </c>
      <c r="J189" s="1" t="s">
        <v>1150</v>
      </c>
      <c r="K189" s="56">
        <f t="shared" ca="1" si="4"/>
        <v>35</v>
      </c>
      <c r="L189" s="79" t="str">
        <f ca="1">_xlfn.XLOOKUP(K189,'Age Range'!A:A,'Age Range'!B:B)</f>
        <v>30-39</v>
      </c>
      <c r="M189" s="8" t="s">
        <v>1146</v>
      </c>
      <c r="N189" s="56">
        <f t="shared" ca="1" si="5"/>
        <v>6</v>
      </c>
      <c r="O189" s="79" t="str">
        <f ca="1">_xlfn.XLOOKUP(N189,'LOS Range'!A:A,'LOS Range'!B:B)</f>
        <v>5 - 9 years</v>
      </c>
      <c r="P189" s="1" t="s">
        <v>56</v>
      </c>
      <c r="Q189" s="1" t="s">
        <v>561</v>
      </c>
      <c r="R189" s="2">
        <v>384895.98445595836</v>
      </c>
      <c r="S189" s="1">
        <v>61</v>
      </c>
    </row>
    <row r="190" spans="1:19" s="3" customFormat="1" x14ac:dyDescent="0.2">
      <c r="A190" s="1">
        <v>189</v>
      </c>
      <c r="B190" s="1" t="s">
        <v>1151</v>
      </c>
      <c r="C190" s="1" t="s">
        <v>1152</v>
      </c>
      <c r="D190" s="1" t="s">
        <v>1153</v>
      </c>
      <c r="E190" s="1" t="s">
        <v>1154</v>
      </c>
      <c r="F190" s="1" t="s">
        <v>42</v>
      </c>
      <c r="G190" s="1" t="s">
        <v>78</v>
      </c>
      <c r="H190" s="1" t="s">
        <v>131</v>
      </c>
      <c r="I190" s="1" t="s">
        <v>63</v>
      </c>
      <c r="J190" s="1" t="s">
        <v>1155</v>
      </c>
      <c r="K190" s="56">
        <f t="shared" ca="1" si="4"/>
        <v>47</v>
      </c>
      <c r="L190" s="79" t="str">
        <f ca="1">_xlfn.XLOOKUP(K190,'Age Range'!A:A,'Age Range'!B:B)</f>
        <v>40-49</v>
      </c>
      <c r="M190" s="8" t="s">
        <v>1146</v>
      </c>
      <c r="N190" s="56">
        <f t="shared" ca="1" si="5"/>
        <v>6</v>
      </c>
      <c r="O190" s="79" t="str">
        <f ca="1">_xlfn.XLOOKUP(N190,'LOS Range'!A:A,'LOS Range'!B:B)</f>
        <v>5 - 9 years</v>
      </c>
      <c r="P190" s="1" t="s">
        <v>66</v>
      </c>
      <c r="Q190" s="1" t="s">
        <v>561</v>
      </c>
      <c r="R190" s="2">
        <v>384895.98445595836</v>
      </c>
      <c r="S190" s="1">
        <v>62</v>
      </c>
    </row>
    <row r="191" spans="1:19" s="3" customFormat="1" x14ac:dyDescent="0.2">
      <c r="A191" s="1">
        <v>190</v>
      </c>
      <c r="B191" s="1" t="s">
        <v>1156</v>
      </c>
      <c r="C191" s="1" t="s">
        <v>1157</v>
      </c>
      <c r="D191" s="1" t="s">
        <v>1158</v>
      </c>
      <c r="E191" s="1" t="s">
        <v>1159</v>
      </c>
      <c r="F191" s="1" t="s">
        <v>42</v>
      </c>
      <c r="G191" s="1" t="s">
        <v>78</v>
      </c>
      <c r="H191" s="1" t="s">
        <v>131</v>
      </c>
      <c r="I191" s="1" t="s">
        <v>63</v>
      </c>
      <c r="J191" s="1" t="s">
        <v>1160</v>
      </c>
      <c r="K191" s="56">
        <f t="shared" ca="1" si="4"/>
        <v>44</v>
      </c>
      <c r="L191" s="79" t="str">
        <f ca="1">_xlfn.XLOOKUP(K191,'Age Range'!A:A,'Age Range'!B:B)</f>
        <v>40-49</v>
      </c>
      <c r="M191" s="8" t="s">
        <v>1161</v>
      </c>
      <c r="N191" s="56">
        <f t="shared" ca="1" si="5"/>
        <v>6</v>
      </c>
      <c r="O191" s="79" t="str">
        <f ca="1">_xlfn.XLOOKUP(N191,'LOS Range'!A:A,'LOS Range'!B:B)</f>
        <v>5 - 9 years</v>
      </c>
      <c r="P191" s="1" t="s">
        <v>28</v>
      </c>
      <c r="Q191" s="1" t="s">
        <v>561</v>
      </c>
      <c r="R191" s="2">
        <v>379977.62415803189</v>
      </c>
      <c r="S191" s="1">
        <v>63</v>
      </c>
    </row>
    <row r="192" spans="1:19" s="3" customFormat="1" x14ac:dyDescent="0.2">
      <c r="A192" s="1">
        <v>191</v>
      </c>
      <c r="B192" s="1" t="s">
        <v>1162</v>
      </c>
      <c r="C192" s="1" t="s">
        <v>1163</v>
      </c>
      <c r="D192" s="1" t="s">
        <v>1164</v>
      </c>
      <c r="E192" s="1" t="s">
        <v>1165</v>
      </c>
      <c r="F192" s="1" t="s">
        <v>42</v>
      </c>
      <c r="G192" s="1" t="s">
        <v>78</v>
      </c>
      <c r="H192" s="1" t="s">
        <v>1166</v>
      </c>
      <c r="I192" s="1" t="s">
        <v>63</v>
      </c>
      <c r="J192" s="1" t="s">
        <v>1167</v>
      </c>
      <c r="K192" s="56">
        <f t="shared" ca="1" si="4"/>
        <v>45</v>
      </c>
      <c r="L192" s="79" t="str">
        <f ca="1">_xlfn.XLOOKUP(K192,'Age Range'!A:A,'Age Range'!B:B)</f>
        <v>40-49</v>
      </c>
      <c r="M192" s="8" t="s">
        <v>1168</v>
      </c>
      <c r="N192" s="56">
        <f t="shared" ca="1" si="5"/>
        <v>6</v>
      </c>
      <c r="O192" s="79" t="str">
        <f ca="1">_xlfn.XLOOKUP(N192,'LOS Range'!A:A,'LOS Range'!B:B)</f>
        <v>5 - 9 years</v>
      </c>
      <c r="P192" s="1" t="s">
        <v>28</v>
      </c>
      <c r="Q192" s="1" t="s">
        <v>561</v>
      </c>
      <c r="R192" s="2">
        <v>789838.5</v>
      </c>
      <c r="S192" s="1">
        <v>64</v>
      </c>
    </row>
    <row r="193" spans="1:19" s="3" customFormat="1" x14ac:dyDescent="0.2">
      <c r="A193" s="1">
        <v>192</v>
      </c>
      <c r="B193" s="1" t="s">
        <v>1169</v>
      </c>
      <c r="C193" s="1" t="s">
        <v>1170</v>
      </c>
      <c r="D193" s="1" t="s">
        <v>1171</v>
      </c>
      <c r="E193" s="1" t="s">
        <v>1172</v>
      </c>
      <c r="F193" s="1" t="s">
        <v>61</v>
      </c>
      <c r="G193" s="1" t="s">
        <v>78</v>
      </c>
      <c r="H193" s="1" t="s">
        <v>227</v>
      </c>
      <c r="I193" s="1" t="s">
        <v>63</v>
      </c>
      <c r="J193" s="1" t="s">
        <v>823</v>
      </c>
      <c r="K193" s="56">
        <f t="shared" ca="1" si="4"/>
        <v>36</v>
      </c>
      <c r="L193" s="79" t="str">
        <f ca="1">_xlfn.XLOOKUP(K193,'Age Range'!A:A,'Age Range'!B:B)</f>
        <v>30-39</v>
      </c>
      <c r="M193" s="8" t="s">
        <v>1168</v>
      </c>
      <c r="N193" s="56">
        <f t="shared" ca="1" si="5"/>
        <v>6</v>
      </c>
      <c r="O193" s="79" t="str">
        <f ca="1">_xlfn.XLOOKUP(N193,'LOS Range'!A:A,'LOS Range'!B:B)</f>
        <v>5 - 9 years</v>
      </c>
      <c r="P193" s="1" t="s">
        <v>28</v>
      </c>
      <c r="Q193" s="1" t="s">
        <v>29</v>
      </c>
      <c r="R193" s="2">
        <v>129860.25</v>
      </c>
      <c r="S193" s="1">
        <v>65</v>
      </c>
    </row>
    <row r="194" spans="1:19" s="3" customFormat="1" x14ac:dyDescent="0.2">
      <c r="A194" s="1">
        <v>193</v>
      </c>
      <c r="B194" s="1" t="s">
        <v>1173</v>
      </c>
      <c r="C194" s="1" t="s">
        <v>1174</v>
      </c>
      <c r="D194" s="1" t="s">
        <v>1175</v>
      </c>
      <c r="E194" s="1" t="s">
        <v>1176</v>
      </c>
      <c r="F194" s="1" t="s">
        <v>34</v>
      </c>
      <c r="G194" s="1" t="s">
        <v>35</v>
      </c>
      <c r="H194" s="1" t="s">
        <v>24</v>
      </c>
      <c r="I194" s="1" t="s">
        <v>63</v>
      </c>
      <c r="J194" s="1" t="s">
        <v>1177</v>
      </c>
      <c r="K194" s="56">
        <f t="shared" ref="K194:K240" ca="1" si="6">ROUNDDOWN((TODAY()-J194)/365,0)</f>
        <v>24</v>
      </c>
      <c r="L194" s="79" t="str">
        <f ca="1">_xlfn.XLOOKUP(K194,'Age Range'!A:A,'Age Range'!B:B)</f>
        <v>20-29</v>
      </c>
      <c r="M194" s="8" t="s">
        <v>1178</v>
      </c>
      <c r="N194" s="56">
        <f t="shared" ref="N194:N240" ca="1" si="7">ROUNDDOWN((TODAY()-M194)/365,0)</f>
        <v>6</v>
      </c>
      <c r="O194" s="79" t="str">
        <f ca="1">_xlfn.XLOOKUP(N194,'LOS Range'!A:A,'LOS Range'!B:B)</f>
        <v>5 - 9 years</v>
      </c>
      <c r="P194" s="1" t="s">
        <v>28</v>
      </c>
      <c r="Q194" s="1" t="s">
        <v>29</v>
      </c>
      <c r="R194" s="2">
        <v>136793.25</v>
      </c>
      <c r="S194" s="1">
        <v>50</v>
      </c>
    </row>
    <row r="195" spans="1:19" s="3" customFormat="1" x14ac:dyDescent="0.2">
      <c r="A195" s="1">
        <v>194</v>
      </c>
      <c r="B195" s="1" t="s">
        <v>1179</v>
      </c>
      <c r="C195" s="1" t="s">
        <v>1180</v>
      </c>
      <c r="D195" s="1" t="s">
        <v>1181</v>
      </c>
      <c r="E195" s="1" t="s">
        <v>1182</v>
      </c>
      <c r="F195" s="1" t="s">
        <v>61</v>
      </c>
      <c r="G195" s="1" t="s">
        <v>78</v>
      </c>
      <c r="H195" s="1" t="s">
        <v>539</v>
      </c>
      <c r="I195" s="1" t="s">
        <v>63</v>
      </c>
      <c r="J195" s="1" t="s">
        <v>1183</v>
      </c>
      <c r="K195" s="56">
        <f t="shared" ca="1" si="6"/>
        <v>35</v>
      </c>
      <c r="L195" s="79" t="str">
        <f ca="1">_xlfn.XLOOKUP(K195,'Age Range'!A:A,'Age Range'!B:B)</f>
        <v>30-39</v>
      </c>
      <c r="M195" s="8" t="s">
        <v>1184</v>
      </c>
      <c r="N195" s="56">
        <f t="shared" ca="1" si="7"/>
        <v>5</v>
      </c>
      <c r="O195" s="79" t="str">
        <f ca="1">_xlfn.XLOOKUP(N195,'LOS Range'!A:A,'LOS Range'!B:B)</f>
        <v>5 - 9 years</v>
      </c>
      <c r="P195" s="1" t="s">
        <v>99</v>
      </c>
      <c r="Q195" s="1" t="s">
        <v>29</v>
      </c>
      <c r="R195" s="2">
        <v>463998.24</v>
      </c>
      <c r="S195" s="1">
        <v>51</v>
      </c>
    </row>
    <row r="196" spans="1:19" s="3" customFormat="1" x14ac:dyDescent="0.2">
      <c r="A196" s="1">
        <v>195</v>
      </c>
      <c r="B196" s="1" t="s">
        <v>1185</v>
      </c>
      <c r="C196" s="1" t="s">
        <v>1186</v>
      </c>
      <c r="D196" s="1" t="s">
        <v>1187</v>
      </c>
      <c r="E196" s="1" t="s">
        <v>1188</v>
      </c>
      <c r="F196" s="1" t="s">
        <v>34</v>
      </c>
      <c r="G196" s="1" t="s">
        <v>35</v>
      </c>
      <c r="H196" s="1" t="s">
        <v>24</v>
      </c>
      <c r="I196" s="1" t="s">
        <v>63</v>
      </c>
      <c r="J196" s="1" t="s">
        <v>1189</v>
      </c>
      <c r="K196" s="56">
        <f t="shared" ca="1" si="6"/>
        <v>25</v>
      </c>
      <c r="L196" s="79" t="str">
        <f ca="1">_xlfn.XLOOKUP(K196,'Age Range'!A:A,'Age Range'!B:B)</f>
        <v>20-29</v>
      </c>
      <c r="M196" s="8" t="s">
        <v>1184</v>
      </c>
      <c r="N196" s="56">
        <f t="shared" ca="1" si="7"/>
        <v>5</v>
      </c>
      <c r="O196" s="79" t="str">
        <f ca="1">_xlfn.XLOOKUP(N196,'LOS Range'!A:A,'LOS Range'!B:B)</f>
        <v>5 - 9 years</v>
      </c>
      <c r="P196" s="1" t="s">
        <v>28</v>
      </c>
      <c r="Q196" s="1" t="s">
        <v>29</v>
      </c>
      <c r="R196" s="2">
        <v>129860.25</v>
      </c>
      <c r="S196" s="1">
        <v>52</v>
      </c>
    </row>
    <row r="197" spans="1:19" s="3" customFormat="1" x14ac:dyDescent="0.2">
      <c r="A197" s="1">
        <v>196</v>
      </c>
      <c r="B197" s="1" t="s">
        <v>1190</v>
      </c>
      <c r="C197" s="1" t="s">
        <v>1191</v>
      </c>
      <c r="D197" s="1" t="s">
        <v>1192</v>
      </c>
      <c r="E197" s="1" t="s">
        <v>1193</v>
      </c>
      <c r="F197" s="1" t="s">
        <v>42</v>
      </c>
      <c r="G197" s="1" t="s">
        <v>52</v>
      </c>
      <c r="H197" s="1" t="s">
        <v>1194</v>
      </c>
      <c r="I197" s="1" t="s">
        <v>63</v>
      </c>
      <c r="J197" s="1" t="s">
        <v>1195</v>
      </c>
      <c r="K197" s="56">
        <f t="shared" ca="1" si="6"/>
        <v>29</v>
      </c>
      <c r="L197" s="79" t="str">
        <f ca="1">_xlfn.XLOOKUP(K197,'Age Range'!A:A,'Age Range'!B:B)</f>
        <v>20-29</v>
      </c>
      <c r="M197" s="8" t="s">
        <v>1196</v>
      </c>
      <c r="N197" s="56">
        <f t="shared" ca="1" si="7"/>
        <v>5</v>
      </c>
      <c r="O197" s="79" t="str">
        <f ca="1">_xlfn.XLOOKUP(N197,'LOS Range'!A:A,'LOS Range'!B:B)</f>
        <v>5 - 9 years</v>
      </c>
      <c r="P197" s="1" t="s">
        <v>47</v>
      </c>
      <c r="Q197" s="1" t="s">
        <v>29</v>
      </c>
      <c r="R197" s="2">
        <v>298027.08</v>
      </c>
      <c r="S197" s="1">
        <v>53</v>
      </c>
    </row>
    <row r="198" spans="1:19" s="3" customFormat="1" x14ac:dyDescent="0.2">
      <c r="A198" s="1">
        <v>197</v>
      </c>
      <c r="B198" s="1" t="s">
        <v>1197</v>
      </c>
      <c r="C198" s="1" t="s">
        <v>1198</v>
      </c>
      <c r="D198" s="1" t="s">
        <v>1199</v>
      </c>
      <c r="E198" s="1" t="s">
        <v>1200</v>
      </c>
      <c r="F198" s="1" t="s">
        <v>42</v>
      </c>
      <c r="G198" s="1" t="s">
        <v>43</v>
      </c>
      <c r="H198" s="1" t="s">
        <v>1201</v>
      </c>
      <c r="I198" s="1" t="s">
        <v>63</v>
      </c>
      <c r="J198" s="1" t="s">
        <v>1202</v>
      </c>
      <c r="K198" s="56">
        <f t="shared" ca="1" si="6"/>
        <v>29</v>
      </c>
      <c r="L198" s="79" t="str">
        <f ca="1">_xlfn.XLOOKUP(K198,'Age Range'!A:A,'Age Range'!B:B)</f>
        <v>20-29</v>
      </c>
      <c r="M198" s="8" t="s">
        <v>1196</v>
      </c>
      <c r="N198" s="56">
        <f t="shared" ca="1" si="7"/>
        <v>5</v>
      </c>
      <c r="O198" s="79" t="str">
        <f ca="1">_xlfn.XLOOKUP(N198,'LOS Range'!A:A,'LOS Range'!B:B)</f>
        <v>5 - 9 years</v>
      </c>
      <c r="P198" s="1" t="s">
        <v>56</v>
      </c>
      <c r="Q198" s="1" t="s">
        <v>818</v>
      </c>
      <c r="R198" s="2">
        <v>1780528.4151554408</v>
      </c>
      <c r="S198" s="1">
        <v>54</v>
      </c>
    </row>
    <row r="199" spans="1:19" s="3" customFormat="1" x14ac:dyDescent="0.2">
      <c r="A199" s="1">
        <v>198</v>
      </c>
      <c r="B199" s="1" t="s">
        <v>1203</v>
      </c>
      <c r="C199" s="1" t="s">
        <v>1204</v>
      </c>
      <c r="D199" s="1" t="s">
        <v>1205</v>
      </c>
      <c r="E199" s="1" t="s">
        <v>1206</v>
      </c>
      <c r="F199" s="1" t="s">
        <v>42</v>
      </c>
      <c r="G199" s="1" t="s">
        <v>52</v>
      </c>
      <c r="H199" s="1" t="s">
        <v>1207</v>
      </c>
      <c r="I199" s="1" t="s">
        <v>63</v>
      </c>
      <c r="J199" s="1" t="s">
        <v>1208</v>
      </c>
      <c r="K199" s="56">
        <f t="shared" ca="1" si="6"/>
        <v>41</v>
      </c>
      <c r="L199" s="79" t="str">
        <f ca="1">_xlfn.XLOOKUP(K199,'Age Range'!A:A,'Age Range'!B:B)</f>
        <v>40-49</v>
      </c>
      <c r="M199" s="8" t="s">
        <v>1209</v>
      </c>
      <c r="N199" s="56">
        <f t="shared" ca="1" si="7"/>
        <v>5</v>
      </c>
      <c r="O199" s="79" t="str">
        <f ca="1">_xlfn.XLOOKUP(N199,'LOS Range'!A:A,'LOS Range'!B:B)</f>
        <v>5 - 9 years</v>
      </c>
      <c r="P199" s="1" t="s">
        <v>66</v>
      </c>
      <c r="Q199" s="1" t="s">
        <v>29</v>
      </c>
      <c r="R199" s="2">
        <v>278316.15000000002</v>
      </c>
      <c r="S199" s="1">
        <v>55</v>
      </c>
    </row>
    <row r="200" spans="1:19" s="3" customFormat="1" x14ac:dyDescent="0.2">
      <c r="A200" s="1">
        <v>199</v>
      </c>
      <c r="B200" s="1" t="s">
        <v>1210</v>
      </c>
      <c r="C200" s="1" t="s">
        <v>1211</v>
      </c>
      <c r="D200" s="1" t="s">
        <v>1212</v>
      </c>
      <c r="E200" s="1" t="s">
        <v>1213</v>
      </c>
      <c r="F200" s="1" t="s">
        <v>42</v>
      </c>
      <c r="G200" s="1" t="s">
        <v>78</v>
      </c>
      <c r="H200" s="1" t="s">
        <v>580</v>
      </c>
      <c r="I200" s="1" t="s">
        <v>63</v>
      </c>
      <c r="J200" s="1" t="s">
        <v>1214</v>
      </c>
      <c r="K200" s="56">
        <f t="shared" ca="1" si="6"/>
        <v>34</v>
      </c>
      <c r="L200" s="79" t="str">
        <f ca="1">_xlfn.XLOOKUP(K200,'Age Range'!A:A,'Age Range'!B:B)</f>
        <v>30-39</v>
      </c>
      <c r="M200" s="8" t="s">
        <v>1215</v>
      </c>
      <c r="N200" s="56">
        <f t="shared" ca="1" si="7"/>
        <v>5</v>
      </c>
      <c r="O200" s="79" t="str">
        <f ca="1">_xlfn.XLOOKUP(N200,'LOS Range'!A:A,'LOS Range'!B:B)</f>
        <v>5 - 9 years</v>
      </c>
      <c r="P200" s="1" t="s">
        <v>28</v>
      </c>
      <c r="Q200" s="1" t="s">
        <v>29</v>
      </c>
      <c r="R200" s="2">
        <v>293868</v>
      </c>
      <c r="S200" s="1">
        <v>40</v>
      </c>
    </row>
    <row r="201" spans="1:19" s="3" customFormat="1" x14ac:dyDescent="0.2">
      <c r="A201" s="1">
        <v>200</v>
      </c>
      <c r="B201" s="1" t="s">
        <v>1216</v>
      </c>
      <c r="C201" s="1" t="s">
        <v>1217</v>
      </c>
      <c r="D201" s="1" t="s">
        <v>1218</v>
      </c>
      <c r="E201" s="1" t="s">
        <v>1219</v>
      </c>
      <c r="F201" s="1" t="s">
        <v>34</v>
      </c>
      <c r="G201" s="1" t="s">
        <v>350</v>
      </c>
      <c r="H201" s="1" t="s">
        <v>1220</v>
      </c>
      <c r="I201" s="1" t="s">
        <v>63</v>
      </c>
      <c r="J201" s="1" t="s">
        <v>1221</v>
      </c>
      <c r="K201" s="56">
        <f t="shared" ca="1" si="6"/>
        <v>36</v>
      </c>
      <c r="L201" s="79" t="str">
        <f ca="1">_xlfn.XLOOKUP(K201,'Age Range'!A:A,'Age Range'!B:B)</f>
        <v>30-39</v>
      </c>
      <c r="M201" s="8" t="s">
        <v>1222</v>
      </c>
      <c r="N201" s="56">
        <f t="shared" ca="1" si="7"/>
        <v>5</v>
      </c>
      <c r="O201" s="79" t="str">
        <f ca="1">_xlfn.XLOOKUP(N201,'LOS Range'!A:A,'LOS Range'!B:B)</f>
        <v>5 - 9 years</v>
      </c>
      <c r="P201" s="1" t="s">
        <v>28</v>
      </c>
      <c r="Q201" s="1" t="s">
        <v>561</v>
      </c>
      <c r="R201" s="2">
        <v>1500000</v>
      </c>
      <c r="S201" s="1">
        <v>41</v>
      </c>
    </row>
    <row r="202" spans="1:19" s="3" customFormat="1" x14ac:dyDescent="0.2">
      <c r="A202" s="1">
        <v>201</v>
      </c>
      <c r="B202" s="1" t="s">
        <v>1223</v>
      </c>
      <c r="C202" s="1" t="s">
        <v>1224</v>
      </c>
      <c r="D202" s="1" t="s">
        <v>1225</v>
      </c>
      <c r="E202" s="1" t="s">
        <v>571</v>
      </c>
      <c r="F202" s="1" t="s">
        <v>42</v>
      </c>
      <c r="G202" s="1" t="s">
        <v>221</v>
      </c>
      <c r="H202" s="1" t="s">
        <v>1226</v>
      </c>
      <c r="I202" s="1" t="s">
        <v>63</v>
      </c>
      <c r="J202" s="1" t="s">
        <v>443</v>
      </c>
      <c r="K202" s="56">
        <f t="shared" ca="1" si="6"/>
        <v>33</v>
      </c>
      <c r="L202" s="79" t="str">
        <f ca="1">_xlfn.XLOOKUP(K202,'Age Range'!A:A,'Age Range'!B:B)</f>
        <v>30-39</v>
      </c>
      <c r="M202" s="8" t="s">
        <v>1227</v>
      </c>
      <c r="N202" s="56">
        <f t="shared" ca="1" si="7"/>
        <v>5</v>
      </c>
      <c r="O202" s="79" t="str">
        <f ca="1">_xlfn.XLOOKUP(N202,'LOS Range'!A:A,'LOS Range'!B:B)</f>
        <v>5 - 9 years</v>
      </c>
      <c r="P202" s="1" t="s">
        <v>28</v>
      </c>
      <c r="Q202" s="1" t="s">
        <v>561</v>
      </c>
      <c r="R202" s="2">
        <v>720109.35</v>
      </c>
      <c r="S202" s="1">
        <v>42</v>
      </c>
    </row>
    <row r="203" spans="1:19" s="3" customFormat="1" x14ac:dyDescent="0.2">
      <c r="A203" s="1">
        <v>202</v>
      </c>
      <c r="B203" s="1" t="s">
        <v>1228</v>
      </c>
      <c r="C203" s="1" t="s">
        <v>1229</v>
      </c>
      <c r="D203" s="1" t="s">
        <v>1230</v>
      </c>
      <c r="E203" s="1" t="s">
        <v>1231</v>
      </c>
      <c r="F203" s="1" t="s">
        <v>61</v>
      </c>
      <c r="G203" s="1" t="s">
        <v>78</v>
      </c>
      <c r="H203" s="1" t="s">
        <v>809</v>
      </c>
      <c r="I203" s="1" t="s">
        <v>63</v>
      </c>
      <c r="J203" s="1" t="s">
        <v>1232</v>
      </c>
      <c r="K203" s="56">
        <f t="shared" ca="1" si="6"/>
        <v>34</v>
      </c>
      <c r="L203" s="79" t="str">
        <f ca="1">_xlfn.XLOOKUP(K203,'Age Range'!A:A,'Age Range'!B:B)</f>
        <v>30-39</v>
      </c>
      <c r="M203" s="8" t="s">
        <v>1233</v>
      </c>
      <c r="N203" s="56">
        <f t="shared" ca="1" si="7"/>
        <v>5</v>
      </c>
      <c r="O203" s="79" t="str">
        <f ca="1">_xlfn.XLOOKUP(N203,'LOS Range'!A:A,'LOS Range'!B:B)</f>
        <v>5 - 9 years</v>
      </c>
      <c r="P203" s="1" t="s">
        <v>28</v>
      </c>
      <c r="Q203" s="1" t="s">
        <v>561</v>
      </c>
      <c r="R203" s="2">
        <v>544979.49</v>
      </c>
      <c r="S203" s="1">
        <v>43</v>
      </c>
    </row>
    <row r="204" spans="1:19" s="3" customFormat="1" x14ac:dyDescent="0.2">
      <c r="A204" s="1">
        <v>203</v>
      </c>
      <c r="B204" s="1" t="s">
        <v>1234</v>
      </c>
      <c r="C204" s="1" t="s">
        <v>1235</v>
      </c>
      <c r="D204" s="1" t="s">
        <v>1236</v>
      </c>
      <c r="E204" s="1" t="s">
        <v>1237</v>
      </c>
      <c r="F204" s="1" t="s">
        <v>42</v>
      </c>
      <c r="G204" s="1" t="s">
        <v>43</v>
      </c>
      <c r="H204" s="1" t="s">
        <v>1238</v>
      </c>
      <c r="I204" s="1" t="s">
        <v>63</v>
      </c>
      <c r="J204" s="1" t="s">
        <v>1239</v>
      </c>
      <c r="K204" s="56">
        <f t="shared" ca="1" si="6"/>
        <v>30</v>
      </c>
      <c r="L204" s="79" t="str">
        <f ca="1">_xlfn.XLOOKUP(K204,'Age Range'!A:A,'Age Range'!B:B)</f>
        <v>30-39</v>
      </c>
      <c r="M204" s="8" t="s">
        <v>1240</v>
      </c>
      <c r="N204" s="56">
        <f t="shared" ca="1" si="7"/>
        <v>5</v>
      </c>
      <c r="O204" s="79" t="str">
        <f ca="1">_xlfn.XLOOKUP(N204,'LOS Range'!A:A,'LOS Range'!B:B)</f>
        <v>5 - 9 years</v>
      </c>
      <c r="P204" s="1" t="s">
        <v>99</v>
      </c>
      <c r="Q204" s="1" t="s">
        <v>29</v>
      </c>
      <c r="R204" s="2">
        <v>393503.49</v>
      </c>
      <c r="S204" s="1">
        <v>44</v>
      </c>
    </row>
    <row r="205" spans="1:19" s="3" customFormat="1" x14ac:dyDescent="0.2">
      <c r="A205" s="1">
        <v>204</v>
      </c>
      <c r="B205" s="1" t="s">
        <v>1241</v>
      </c>
      <c r="C205" s="1" t="s">
        <v>1242</v>
      </c>
      <c r="D205" s="1" t="s">
        <v>1243</v>
      </c>
      <c r="E205" s="1" t="s">
        <v>1244</v>
      </c>
      <c r="F205" s="1" t="s">
        <v>42</v>
      </c>
      <c r="G205" s="1" t="s">
        <v>221</v>
      </c>
      <c r="H205" s="1" t="s">
        <v>1245</v>
      </c>
      <c r="I205" s="1" t="s">
        <v>63</v>
      </c>
      <c r="J205" s="1" t="s">
        <v>1246</v>
      </c>
      <c r="K205" s="56">
        <f t="shared" ca="1" si="6"/>
        <v>42</v>
      </c>
      <c r="L205" s="79" t="str">
        <f ca="1">_xlfn.XLOOKUP(K205,'Age Range'!A:A,'Age Range'!B:B)</f>
        <v>40-49</v>
      </c>
      <c r="M205" s="8" t="s">
        <v>1240</v>
      </c>
      <c r="N205" s="56">
        <f t="shared" ca="1" si="7"/>
        <v>5</v>
      </c>
      <c r="O205" s="79" t="str">
        <f ca="1">_xlfn.XLOOKUP(N205,'LOS Range'!A:A,'LOS Range'!B:B)</f>
        <v>5 - 9 years</v>
      </c>
      <c r="P205" s="1" t="s">
        <v>28</v>
      </c>
      <c r="Q205" s="1" t="s">
        <v>29</v>
      </c>
      <c r="R205" s="2">
        <v>269284.34999999998</v>
      </c>
      <c r="S205" s="1">
        <v>45</v>
      </c>
    </row>
    <row r="206" spans="1:19" s="3" customFormat="1" x14ac:dyDescent="0.2">
      <c r="A206" s="1">
        <v>205</v>
      </c>
      <c r="B206" s="1" t="s">
        <v>1247</v>
      </c>
      <c r="C206" s="1" t="s">
        <v>1248</v>
      </c>
      <c r="D206" s="1" t="s">
        <v>1249</v>
      </c>
      <c r="E206" s="1" t="s">
        <v>1244</v>
      </c>
      <c r="F206" s="1" t="s">
        <v>34</v>
      </c>
      <c r="G206" s="1" t="s">
        <v>35</v>
      </c>
      <c r="H206" s="1" t="s">
        <v>610</v>
      </c>
      <c r="I206" s="1" t="s">
        <v>63</v>
      </c>
      <c r="J206" s="1" t="s">
        <v>1250</v>
      </c>
      <c r="K206" s="56">
        <f t="shared" ca="1" si="6"/>
        <v>36</v>
      </c>
      <c r="L206" s="79" t="str">
        <f ca="1">_xlfn.XLOOKUP(K206,'Age Range'!A:A,'Age Range'!B:B)</f>
        <v>30-39</v>
      </c>
      <c r="M206" s="8" t="s">
        <v>1240</v>
      </c>
      <c r="N206" s="56">
        <f t="shared" ca="1" si="7"/>
        <v>5</v>
      </c>
      <c r="O206" s="79" t="str">
        <f ca="1">_xlfn.XLOOKUP(N206,'LOS Range'!A:A,'LOS Range'!B:B)</f>
        <v>5 - 9 years</v>
      </c>
      <c r="P206" s="1" t="s">
        <v>47</v>
      </c>
      <c r="Q206" s="1" t="s">
        <v>561</v>
      </c>
      <c r="R206" s="2">
        <v>327835.44</v>
      </c>
      <c r="S206" s="1">
        <v>30</v>
      </c>
    </row>
    <row r="207" spans="1:19" s="3" customFormat="1" x14ac:dyDescent="0.2">
      <c r="A207" s="1">
        <v>206</v>
      </c>
      <c r="B207" s="1" t="s">
        <v>1251</v>
      </c>
      <c r="C207" s="1" t="s">
        <v>1252</v>
      </c>
      <c r="D207" s="1" t="s">
        <v>1253</v>
      </c>
      <c r="E207" s="1" t="s">
        <v>1254</v>
      </c>
      <c r="F207" s="1" t="s">
        <v>61</v>
      </c>
      <c r="G207" s="1" t="s">
        <v>78</v>
      </c>
      <c r="H207" s="1" t="s">
        <v>1255</v>
      </c>
      <c r="I207" s="1" t="s">
        <v>63</v>
      </c>
      <c r="J207" s="1" t="s">
        <v>1256</v>
      </c>
      <c r="K207" s="56">
        <f t="shared" ca="1" si="6"/>
        <v>34</v>
      </c>
      <c r="L207" s="79" t="str">
        <f ca="1">_xlfn.XLOOKUP(K207,'Age Range'!A:A,'Age Range'!B:B)</f>
        <v>30-39</v>
      </c>
      <c r="M207" s="8" t="s">
        <v>1240</v>
      </c>
      <c r="N207" s="56">
        <f t="shared" ca="1" si="7"/>
        <v>5</v>
      </c>
      <c r="O207" s="79" t="str">
        <f ca="1">_xlfn.XLOOKUP(N207,'LOS Range'!A:A,'LOS Range'!B:B)</f>
        <v>5 - 9 years</v>
      </c>
      <c r="P207" s="1" t="s">
        <v>28</v>
      </c>
      <c r="Q207" s="1" t="s">
        <v>818</v>
      </c>
      <c r="R207" s="2">
        <v>1374999.99</v>
      </c>
      <c r="S207" s="1">
        <v>31</v>
      </c>
    </row>
    <row r="208" spans="1:19" s="3" customFormat="1" x14ac:dyDescent="0.2">
      <c r="A208" s="1">
        <v>207</v>
      </c>
      <c r="B208" s="1" t="s">
        <v>1257</v>
      </c>
      <c r="C208" s="1" t="s">
        <v>1258</v>
      </c>
      <c r="D208" s="1" t="s">
        <v>1259</v>
      </c>
      <c r="E208" s="1" t="s">
        <v>1260</v>
      </c>
      <c r="F208" s="1" t="s">
        <v>61</v>
      </c>
      <c r="G208" s="1" t="s">
        <v>78</v>
      </c>
      <c r="H208" s="1" t="s">
        <v>809</v>
      </c>
      <c r="I208" s="1" t="s">
        <v>63</v>
      </c>
      <c r="J208" s="1" t="s">
        <v>1261</v>
      </c>
      <c r="K208" s="56">
        <f t="shared" ca="1" si="6"/>
        <v>28</v>
      </c>
      <c r="L208" s="79" t="str">
        <f ca="1">_xlfn.XLOOKUP(K208,'Age Range'!A:A,'Age Range'!B:B)</f>
        <v>20-29</v>
      </c>
      <c r="M208" s="8" t="s">
        <v>1240</v>
      </c>
      <c r="N208" s="56">
        <f t="shared" ca="1" si="7"/>
        <v>5</v>
      </c>
      <c r="O208" s="79" t="str">
        <f ca="1">_xlfn.XLOOKUP(N208,'LOS Range'!A:A,'LOS Range'!B:B)</f>
        <v>5 - 9 years</v>
      </c>
      <c r="P208" s="1" t="s">
        <v>28</v>
      </c>
      <c r="Q208" s="1" t="s">
        <v>561</v>
      </c>
      <c r="R208" s="2">
        <v>525000</v>
      </c>
      <c r="S208" s="1">
        <v>32</v>
      </c>
    </row>
    <row r="209" spans="1:19" s="3" customFormat="1" x14ac:dyDescent="0.2">
      <c r="A209" s="1">
        <v>208</v>
      </c>
      <c r="B209" s="1" t="s">
        <v>1262</v>
      </c>
      <c r="C209" s="1" t="s">
        <v>1263</v>
      </c>
      <c r="D209" s="1" t="s">
        <v>1264</v>
      </c>
      <c r="E209" s="1" t="s">
        <v>1265</v>
      </c>
      <c r="F209" s="1" t="s">
        <v>42</v>
      </c>
      <c r="G209" s="1" t="s">
        <v>78</v>
      </c>
      <c r="H209" s="1" t="s">
        <v>1266</v>
      </c>
      <c r="I209" s="1" t="s">
        <v>63</v>
      </c>
      <c r="J209" s="1" t="s">
        <v>1267</v>
      </c>
      <c r="K209" s="56">
        <f t="shared" ca="1" si="6"/>
        <v>45</v>
      </c>
      <c r="L209" s="79" t="str">
        <f ca="1">_xlfn.XLOOKUP(K209,'Age Range'!A:A,'Age Range'!B:B)</f>
        <v>40-49</v>
      </c>
      <c r="M209" s="8" t="s">
        <v>1268</v>
      </c>
      <c r="N209" s="56">
        <f t="shared" ca="1" si="7"/>
        <v>5</v>
      </c>
      <c r="O209" s="79" t="str">
        <f ca="1">_xlfn.XLOOKUP(N209,'LOS Range'!A:A,'LOS Range'!B:B)</f>
        <v>5 - 9 years</v>
      </c>
      <c r="P209" s="1" t="s">
        <v>121</v>
      </c>
      <c r="Q209" s="1" t="s">
        <v>29</v>
      </c>
      <c r="R209" s="2">
        <v>280498.08</v>
      </c>
      <c r="S209" s="1">
        <v>33</v>
      </c>
    </row>
    <row r="210" spans="1:19" s="3" customFormat="1" x14ac:dyDescent="0.2">
      <c r="A210" s="1">
        <v>209</v>
      </c>
      <c r="B210" s="1" t="s">
        <v>1269</v>
      </c>
      <c r="C210" s="1" t="s">
        <v>1270</v>
      </c>
      <c r="D210" s="1" t="s">
        <v>1271</v>
      </c>
      <c r="E210" s="1" t="s">
        <v>1176</v>
      </c>
      <c r="F210" s="1" t="s">
        <v>42</v>
      </c>
      <c r="G210" s="1" t="s">
        <v>43</v>
      </c>
      <c r="H210" s="1" t="s">
        <v>1272</v>
      </c>
      <c r="I210" s="1" t="s">
        <v>63</v>
      </c>
      <c r="J210" s="1" t="s">
        <v>1273</v>
      </c>
      <c r="K210" s="56">
        <f t="shared" ca="1" si="6"/>
        <v>31</v>
      </c>
      <c r="L210" s="79" t="str">
        <f ca="1">_xlfn.XLOOKUP(K210,'Age Range'!A:A,'Age Range'!B:B)</f>
        <v>30-39</v>
      </c>
      <c r="M210" s="8" t="s">
        <v>1268</v>
      </c>
      <c r="N210" s="56">
        <f t="shared" ca="1" si="7"/>
        <v>5</v>
      </c>
      <c r="O210" s="79" t="str">
        <f ca="1">_xlfn.XLOOKUP(N210,'LOS Range'!A:A,'LOS Range'!B:B)</f>
        <v>5 - 9 years</v>
      </c>
      <c r="P210" s="1" t="s">
        <v>28</v>
      </c>
      <c r="Q210" s="1" t="s">
        <v>29</v>
      </c>
      <c r="R210" s="2">
        <v>373824.27</v>
      </c>
      <c r="S210" s="1">
        <v>34</v>
      </c>
    </row>
    <row r="211" spans="1:19" s="3" customFormat="1" x14ac:dyDescent="0.2">
      <c r="A211" s="1">
        <v>210</v>
      </c>
      <c r="B211" s="1" t="s">
        <v>1274</v>
      </c>
      <c r="C211" s="1" t="s">
        <v>1275</v>
      </c>
      <c r="D211" s="1" t="s">
        <v>1276</v>
      </c>
      <c r="E211" s="1" t="s">
        <v>448</v>
      </c>
      <c r="F211" s="1" t="s">
        <v>42</v>
      </c>
      <c r="G211" s="1" t="s">
        <v>78</v>
      </c>
      <c r="H211" s="1" t="s">
        <v>1277</v>
      </c>
      <c r="I211" s="1" t="s">
        <v>63</v>
      </c>
      <c r="J211" s="1" t="s">
        <v>1278</v>
      </c>
      <c r="K211" s="56">
        <f t="shared" ca="1" si="6"/>
        <v>44</v>
      </c>
      <c r="L211" s="79" t="str">
        <f ca="1">_xlfn.XLOOKUP(K211,'Age Range'!A:A,'Age Range'!B:B)</f>
        <v>40-49</v>
      </c>
      <c r="M211" s="8" t="s">
        <v>1268</v>
      </c>
      <c r="N211" s="56">
        <f t="shared" ca="1" si="7"/>
        <v>5</v>
      </c>
      <c r="O211" s="79" t="str">
        <f ca="1">_xlfn.XLOOKUP(N211,'LOS Range'!A:A,'LOS Range'!B:B)</f>
        <v>5 - 9 years</v>
      </c>
      <c r="P211" s="1" t="s">
        <v>56</v>
      </c>
      <c r="Q211" s="1" t="s">
        <v>561</v>
      </c>
      <c r="R211" s="2">
        <v>508980.51</v>
      </c>
      <c r="S211" s="1">
        <v>35</v>
      </c>
    </row>
    <row r="212" spans="1:19" s="3" customFormat="1" x14ac:dyDescent="0.2">
      <c r="A212" s="1">
        <v>211</v>
      </c>
      <c r="B212" s="1" t="s">
        <v>1279</v>
      </c>
      <c r="C212" s="1" t="s">
        <v>1280</v>
      </c>
      <c r="D212" s="1" t="s">
        <v>1281</v>
      </c>
      <c r="E212" s="1" t="s">
        <v>1282</v>
      </c>
      <c r="F212" s="1" t="s">
        <v>42</v>
      </c>
      <c r="G212" s="1" t="s">
        <v>78</v>
      </c>
      <c r="H212" s="1" t="s">
        <v>1277</v>
      </c>
      <c r="I212" s="1" t="s">
        <v>63</v>
      </c>
      <c r="J212" s="1" t="s">
        <v>1283</v>
      </c>
      <c r="K212" s="56">
        <f t="shared" ca="1" si="6"/>
        <v>36</v>
      </c>
      <c r="L212" s="79" t="str">
        <f ca="1">_xlfn.XLOOKUP(K212,'Age Range'!A:A,'Age Range'!B:B)</f>
        <v>30-39</v>
      </c>
      <c r="M212" s="8" t="s">
        <v>1268</v>
      </c>
      <c r="N212" s="56">
        <f t="shared" ca="1" si="7"/>
        <v>5</v>
      </c>
      <c r="O212" s="79" t="str">
        <f ca="1">_xlfn.XLOOKUP(N212,'LOS Range'!A:A,'LOS Range'!B:B)</f>
        <v>5 - 9 years</v>
      </c>
      <c r="P212" s="1" t="s">
        <v>56</v>
      </c>
      <c r="Q212" s="1" t="s">
        <v>561</v>
      </c>
      <c r="R212" s="2">
        <v>508980.51</v>
      </c>
      <c r="S212" s="1">
        <v>90</v>
      </c>
    </row>
    <row r="213" spans="1:19" s="3" customFormat="1" x14ac:dyDescent="0.2">
      <c r="A213" s="1">
        <v>212</v>
      </c>
      <c r="B213" s="1" t="s">
        <v>1284</v>
      </c>
      <c r="C213" s="1" t="s">
        <v>1285</v>
      </c>
      <c r="D213" s="1" t="s">
        <v>1286</v>
      </c>
      <c r="E213" s="1" t="s">
        <v>1287</v>
      </c>
      <c r="F213" s="1" t="s">
        <v>42</v>
      </c>
      <c r="G213" s="1" t="s">
        <v>336</v>
      </c>
      <c r="H213" s="1" t="s">
        <v>1288</v>
      </c>
      <c r="I213" s="1" t="s">
        <v>63</v>
      </c>
      <c r="J213" s="1" t="s">
        <v>1289</v>
      </c>
      <c r="K213" s="56">
        <f t="shared" ca="1" si="6"/>
        <v>31</v>
      </c>
      <c r="L213" s="79" t="str">
        <f ca="1">_xlfn.XLOOKUP(K213,'Age Range'!A:A,'Age Range'!B:B)</f>
        <v>30-39</v>
      </c>
      <c r="M213" s="8" t="s">
        <v>1290</v>
      </c>
      <c r="N213" s="56">
        <f t="shared" ca="1" si="7"/>
        <v>5</v>
      </c>
      <c r="O213" s="79" t="str">
        <f ca="1">_xlfn.XLOOKUP(N213,'LOS Range'!A:A,'LOS Range'!B:B)</f>
        <v>5 - 9 years</v>
      </c>
      <c r="P213" s="1" t="s">
        <v>28</v>
      </c>
      <c r="Q213" s="1" t="s">
        <v>561</v>
      </c>
      <c r="R213" s="2">
        <v>626122.35</v>
      </c>
      <c r="S213" s="1">
        <v>91</v>
      </c>
    </row>
    <row r="214" spans="1:19" s="3" customFormat="1" x14ac:dyDescent="0.2">
      <c r="A214" s="1">
        <v>213</v>
      </c>
      <c r="B214" s="1" t="s">
        <v>1291</v>
      </c>
      <c r="C214" s="1" t="s">
        <v>1292</v>
      </c>
      <c r="D214" s="1" t="s">
        <v>1293</v>
      </c>
      <c r="E214" s="1" t="s">
        <v>1294</v>
      </c>
      <c r="F214" s="1" t="s">
        <v>34</v>
      </c>
      <c r="G214" s="1" t="s">
        <v>35</v>
      </c>
      <c r="H214" s="1" t="s">
        <v>24</v>
      </c>
      <c r="I214" s="1" t="s">
        <v>63</v>
      </c>
      <c r="J214" s="1" t="s">
        <v>1295</v>
      </c>
      <c r="K214" s="56">
        <f t="shared" ca="1" si="6"/>
        <v>25</v>
      </c>
      <c r="L214" s="79" t="str">
        <f ca="1">_xlfn.XLOOKUP(K214,'Age Range'!A:A,'Age Range'!B:B)</f>
        <v>20-29</v>
      </c>
      <c r="M214" s="8" t="s">
        <v>1290</v>
      </c>
      <c r="N214" s="56">
        <f t="shared" ca="1" si="7"/>
        <v>5</v>
      </c>
      <c r="O214" s="79" t="str">
        <f ca="1">_xlfn.XLOOKUP(N214,'LOS Range'!A:A,'LOS Range'!B:B)</f>
        <v>5 - 9 years</v>
      </c>
      <c r="P214" s="1" t="s">
        <v>28</v>
      </c>
      <c r="Q214" s="1" t="s">
        <v>885</v>
      </c>
      <c r="R214" s="2">
        <v>118609.46117999998</v>
      </c>
      <c r="S214" s="1">
        <v>92</v>
      </c>
    </row>
    <row r="215" spans="1:19" s="3" customFormat="1" x14ac:dyDescent="0.2">
      <c r="A215" s="1">
        <v>214</v>
      </c>
      <c r="B215" s="1" t="s">
        <v>1296</v>
      </c>
      <c r="C215" s="1" t="s">
        <v>1297</v>
      </c>
      <c r="D215" s="1" t="s">
        <v>1298</v>
      </c>
      <c r="E215" s="1" t="s">
        <v>1299</v>
      </c>
      <c r="F215" s="1" t="s">
        <v>42</v>
      </c>
      <c r="G215" s="1" t="s">
        <v>43</v>
      </c>
      <c r="H215" s="1" t="s">
        <v>1300</v>
      </c>
      <c r="I215" s="1" t="s">
        <v>63</v>
      </c>
      <c r="J215" s="1" t="s">
        <v>1301</v>
      </c>
      <c r="K215" s="56">
        <f t="shared" ca="1" si="6"/>
        <v>34</v>
      </c>
      <c r="L215" s="79" t="str">
        <f ca="1">_xlfn.XLOOKUP(K215,'Age Range'!A:A,'Age Range'!B:B)</f>
        <v>30-39</v>
      </c>
      <c r="M215" s="8" t="s">
        <v>1290</v>
      </c>
      <c r="N215" s="56">
        <f t="shared" ca="1" si="7"/>
        <v>5</v>
      </c>
      <c r="O215" s="79" t="str">
        <f ca="1">_xlfn.XLOOKUP(N215,'LOS Range'!A:A,'LOS Range'!B:B)</f>
        <v>5 - 9 years</v>
      </c>
      <c r="P215" s="1" t="s">
        <v>28</v>
      </c>
      <c r="Q215" s="1" t="s">
        <v>29</v>
      </c>
      <c r="R215" s="2">
        <v>336955.83</v>
      </c>
      <c r="S215" s="1">
        <v>93</v>
      </c>
    </row>
    <row r="216" spans="1:19" s="3" customFormat="1" x14ac:dyDescent="0.2">
      <c r="A216" s="1">
        <v>215</v>
      </c>
      <c r="B216" s="1" t="s">
        <v>1302</v>
      </c>
      <c r="C216" s="1" t="s">
        <v>1303</v>
      </c>
      <c r="D216" s="1" t="s">
        <v>1304</v>
      </c>
      <c r="E216" s="1" t="s">
        <v>1305</v>
      </c>
      <c r="F216" s="1" t="s">
        <v>61</v>
      </c>
      <c r="G216" s="1" t="s">
        <v>78</v>
      </c>
      <c r="H216" s="1" t="s">
        <v>809</v>
      </c>
      <c r="I216" s="1" t="s">
        <v>63</v>
      </c>
      <c r="J216" s="1" t="s">
        <v>1306</v>
      </c>
      <c r="K216" s="56">
        <f t="shared" ca="1" si="6"/>
        <v>34</v>
      </c>
      <c r="L216" s="79" t="str">
        <f ca="1">_xlfn.XLOOKUP(K216,'Age Range'!A:A,'Age Range'!B:B)</f>
        <v>30-39</v>
      </c>
      <c r="M216" s="8" t="s">
        <v>1290</v>
      </c>
      <c r="N216" s="56">
        <f t="shared" ca="1" si="7"/>
        <v>5</v>
      </c>
      <c r="O216" s="79" t="str">
        <f ca="1">_xlfn.XLOOKUP(N216,'LOS Range'!A:A,'LOS Range'!B:B)</f>
        <v>5 - 9 years</v>
      </c>
      <c r="P216" s="1" t="s">
        <v>28</v>
      </c>
      <c r="Q216" s="1" t="s">
        <v>561</v>
      </c>
      <c r="R216" s="2">
        <v>579122.25</v>
      </c>
      <c r="S216" s="1">
        <v>94</v>
      </c>
    </row>
    <row r="217" spans="1:19" s="3" customFormat="1" x14ac:dyDescent="0.2">
      <c r="A217" s="1">
        <v>216</v>
      </c>
      <c r="B217" s="1" t="s">
        <v>1307</v>
      </c>
      <c r="C217" s="1" t="s">
        <v>1308</v>
      </c>
      <c r="D217" s="1" t="s">
        <v>1309</v>
      </c>
      <c r="E217" s="1" t="s">
        <v>1310</v>
      </c>
      <c r="F217" s="1" t="s">
        <v>42</v>
      </c>
      <c r="G217" s="1" t="s">
        <v>78</v>
      </c>
      <c r="H217" s="1" t="s">
        <v>131</v>
      </c>
      <c r="I217" s="1" t="s">
        <v>63</v>
      </c>
      <c r="J217" s="1" t="s">
        <v>1311</v>
      </c>
      <c r="K217" s="56">
        <f t="shared" ca="1" si="6"/>
        <v>36</v>
      </c>
      <c r="L217" s="79" t="str">
        <f ca="1">_xlfn.XLOOKUP(K217,'Age Range'!A:A,'Age Range'!B:B)</f>
        <v>30-39</v>
      </c>
      <c r="M217" s="8" t="s">
        <v>1312</v>
      </c>
      <c r="N217" s="56">
        <f t="shared" ca="1" si="7"/>
        <v>5</v>
      </c>
      <c r="O217" s="79" t="str">
        <f ca="1">_xlfn.XLOOKUP(N217,'LOS Range'!A:A,'LOS Range'!B:B)</f>
        <v>5 - 9 years</v>
      </c>
      <c r="P217" s="1" t="s">
        <v>28</v>
      </c>
      <c r="Q217" s="1" t="s">
        <v>29</v>
      </c>
      <c r="R217" s="2">
        <v>324144.71999999997</v>
      </c>
      <c r="S217" s="1">
        <v>95</v>
      </c>
    </row>
    <row r="218" spans="1:19" s="3" customFormat="1" x14ac:dyDescent="0.2">
      <c r="A218" s="1">
        <v>217</v>
      </c>
      <c r="B218" s="1" t="s">
        <v>1313</v>
      </c>
      <c r="C218" s="1" t="s">
        <v>1314</v>
      </c>
      <c r="D218" s="1" t="s">
        <v>1315</v>
      </c>
      <c r="E218" s="1" t="s">
        <v>1316</v>
      </c>
      <c r="F218" s="1" t="s">
        <v>42</v>
      </c>
      <c r="G218" s="1" t="s">
        <v>52</v>
      </c>
      <c r="H218" s="1" t="s">
        <v>815</v>
      </c>
      <c r="I218" s="1" t="s">
        <v>63</v>
      </c>
      <c r="J218" s="1" t="s">
        <v>1317</v>
      </c>
      <c r="K218" s="56">
        <f t="shared" ca="1" si="6"/>
        <v>27</v>
      </c>
      <c r="L218" s="79" t="str">
        <f ca="1">_xlfn.XLOOKUP(K218,'Age Range'!A:A,'Age Range'!B:B)</f>
        <v>20-29</v>
      </c>
      <c r="M218" s="8" t="s">
        <v>1318</v>
      </c>
      <c r="N218" s="56">
        <f t="shared" ca="1" si="7"/>
        <v>5</v>
      </c>
      <c r="O218" s="79" t="str">
        <f ca="1">_xlfn.XLOOKUP(N218,'LOS Range'!A:A,'LOS Range'!B:B)</f>
        <v>5 - 9 years</v>
      </c>
      <c r="P218" s="1" t="s">
        <v>28</v>
      </c>
      <c r="Q218" s="1" t="s">
        <v>561</v>
      </c>
      <c r="R218" s="2">
        <v>508980.51</v>
      </c>
      <c r="S218" s="1">
        <v>80</v>
      </c>
    </row>
    <row r="219" spans="1:19" s="3" customFormat="1" x14ac:dyDescent="0.2">
      <c r="A219" s="1">
        <v>218</v>
      </c>
      <c r="B219" s="1" t="s">
        <v>1319</v>
      </c>
      <c r="C219" s="1" t="s">
        <v>1320</v>
      </c>
      <c r="D219" s="1" t="s">
        <v>1321</v>
      </c>
      <c r="E219" s="1" t="s">
        <v>1322</v>
      </c>
      <c r="F219" s="1" t="s">
        <v>42</v>
      </c>
      <c r="G219" s="1" t="s">
        <v>78</v>
      </c>
      <c r="H219" s="1" t="s">
        <v>131</v>
      </c>
      <c r="I219" s="1" t="s">
        <v>63</v>
      </c>
      <c r="J219" s="1" t="s">
        <v>1323</v>
      </c>
      <c r="K219" s="56">
        <f t="shared" ca="1" si="6"/>
        <v>59</v>
      </c>
      <c r="L219" s="79" t="str">
        <f ca="1">_xlfn.XLOOKUP(K219,'Age Range'!A:A,'Age Range'!B:B)</f>
        <v>56-70</v>
      </c>
      <c r="M219" s="8" t="s">
        <v>1318</v>
      </c>
      <c r="N219" s="56">
        <f t="shared" ca="1" si="7"/>
        <v>5</v>
      </c>
      <c r="O219" s="79" t="str">
        <f ca="1">_xlfn.XLOOKUP(N219,'LOS Range'!A:A,'LOS Range'!B:B)</f>
        <v>5 - 9 years</v>
      </c>
      <c r="P219" s="1" t="s">
        <v>28</v>
      </c>
      <c r="Q219" s="1" t="s">
        <v>561</v>
      </c>
      <c r="R219" s="2">
        <v>285019.02</v>
      </c>
      <c r="S219" s="1">
        <v>81</v>
      </c>
    </row>
    <row r="220" spans="1:19" s="3" customFormat="1" x14ac:dyDescent="0.2">
      <c r="A220" s="1">
        <v>219</v>
      </c>
      <c r="B220" s="1" t="s">
        <v>1324</v>
      </c>
      <c r="C220" s="1" t="s">
        <v>1325</v>
      </c>
      <c r="D220" s="1" t="s">
        <v>1326</v>
      </c>
      <c r="E220" s="1" t="s">
        <v>1327</v>
      </c>
      <c r="F220" s="1" t="s">
        <v>42</v>
      </c>
      <c r="G220" s="1" t="s">
        <v>78</v>
      </c>
      <c r="H220" s="14" t="s">
        <v>1328</v>
      </c>
      <c r="I220" s="1" t="s">
        <v>63</v>
      </c>
      <c r="J220" s="1" t="s">
        <v>645</v>
      </c>
      <c r="K220" s="56">
        <f t="shared" ca="1" si="6"/>
        <v>29</v>
      </c>
      <c r="L220" s="79" t="str">
        <f ca="1">_xlfn.XLOOKUP(K220,'Age Range'!A:A,'Age Range'!B:B)</f>
        <v>20-29</v>
      </c>
      <c r="M220" s="8" t="s">
        <v>1329</v>
      </c>
      <c r="N220" s="56">
        <f t="shared" ca="1" si="7"/>
        <v>5</v>
      </c>
      <c r="O220" s="79" t="str">
        <f ca="1">_xlfn.XLOOKUP(N220,'LOS Range'!A:A,'LOS Range'!B:B)</f>
        <v>5 - 9 years</v>
      </c>
      <c r="P220" s="14" t="s">
        <v>28</v>
      </c>
      <c r="Q220" s="1" t="s">
        <v>29</v>
      </c>
      <c r="R220" s="2">
        <v>207326.06133120001</v>
      </c>
      <c r="S220" s="1">
        <v>82</v>
      </c>
    </row>
    <row r="221" spans="1:19" s="3" customFormat="1" x14ac:dyDescent="0.2">
      <c r="A221" s="1">
        <v>220</v>
      </c>
      <c r="B221" s="1" t="s">
        <v>1330</v>
      </c>
      <c r="C221" s="1" t="s">
        <v>1331</v>
      </c>
      <c r="D221" s="1" t="s">
        <v>1332</v>
      </c>
      <c r="E221" s="1" t="s">
        <v>504</v>
      </c>
      <c r="F221" s="1" t="s">
        <v>42</v>
      </c>
      <c r="G221" s="1" t="s">
        <v>557</v>
      </c>
      <c r="H221" s="1" t="s">
        <v>558</v>
      </c>
      <c r="I221" s="1" t="s">
        <v>63</v>
      </c>
      <c r="J221" s="1" t="s">
        <v>1333</v>
      </c>
      <c r="K221" s="56">
        <f t="shared" ca="1" si="6"/>
        <v>35</v>
      </c>
      <c r="L221" s="79" t="str">
        <f ca="1">_xlfn.XLOOKUP(K221,'Age Range'!A:A,'Age Range'!B:B)</f>
        <v>30-39</v>
      </c>
      <c r="M221" s="8" t="s">
        <v>1329</v>
      </c>
      <c r="N221" s="56">
        <f t="shared" ca="1" si="7"/>
        <v>5</v>
      </c>
      <c r="O221" s="79" t="str">
        <f ca="1">_xlfn.XLOOKUP(N221,'LOS Range'!A:A,'LOS Range'!B:B)</f>
        <v>5 - 9 years</v>
      </c>
      <c r="P221" s="1" t="s">
        <v>28</v>
      </c>
      <c r="Q221" s="1" t="s">
        <v>29</v>
      </c>
      <c r="R221" s="2">
        <v>288189.09000000003</v>
      </c>
      <c r="S221" s="1">
        <v>83</v>
      </c>
    </row>
    <row r="222" spans="1:19" s="3" customFormat="1" x14ac:dyDescent="0.2">
      <c r="A222" s="1">
        <v>221</v>
      </c>
      <c r="B222" s="1" t="s">
        <v>1334</v>
      </c>
      <c r="C222" s="1" t="s">
        <v>1335</v>
      </c>
      <c r="D222" s="1" t="s">
        <v>1336</v>
      </c>
      <c r="E222" s="1" t="s">
        <v>722</v>
      </c>
      <c r="F222" s="1" t="s">
        <v>42</v>
      </c>
      <c r="G222" s="1" t="s">
        <v>78</v>
      </c>
      <c r="H222" s="1" t="s">
        <v>1277</v>
      </c>
      <c r="I222" s="1" t="s">
        <v>63</v>
      </c>
      <c r="J222" s="1" t="s">
        <v>1337</v>
      </c>
      <c r="K222" s="56">
        <f t="shared" ca="1" si="6"/>
        <v>40</v>
      </c>
      <c r="L222" s="79" t="str">
        <f ca="1">_xlfn.XLOOKUP(K222,'Age Range'!A:A,'Age Range'!B:B)</f>
        <v>40-49</v>
      </c>
      <c r="M222" s="8" t="s">
        <v>1338</v>
      </c>
      <c r="N222" s="56">
        <f t="shared" ca="1" si="7"/>
        <v>5</v>
      </c>
      <c r="O222" s="79" t="str">
        <f ca="1">_xlfn.XLOOKUP(N222,'LOS Range'!A:A,'LOS Range'!B:B)</f>
        <v>5 - 9 years</v>
      </c>
      <c r="P222" s="1" t="s">
        <v>185</v>
      </c>
      <c r="Q222" s="1" t="s">
        <v>561</v>
      </c>
      <c r="R222" s="2">
        <v>508225.79268134711</v>
      </c>
      <c r="S222" s="1">
        <v>84</v>
      </c>
    </row>
    <row r="223" spans="1:19" s="3" customFormat="1" x14ac:dyDescent="0.2">
      <c r="A223" s="1">
        <v>222</v>
      </c>
      <c r="B223" s="1" t="s">
        <v>1339</v>
      </c>
      <c r="C223" s="1" t="s">
        <v>1340</v>
      </c>
      <c r="D223" s="1" t="s">
        <v>1341</v>
      </c>
      <c r="E223" s="1" t="s">
        <v>1342</v>
      </c>
      <c r="F223" s="1" t="s">
        <v>61</v>
      </c>
      <c r="G223" s="1" t="s">
        <v>78</v>
      </c>
      <c r="H223" s="1" t="s">
        <v>1245</v>
      </c>
      <c r="I223" s="1" t="s">
        <v>63</v>
      </c>
      <c r="J223" s="1" t="s">
        <v>1343</v>
      </c>
      <c r="K223" s="56">
        <f t="shared" ca="1" si="6"/>
        <v>55</v>
      </c>
      <c r="L223" s="79" t="str">
        <f ca="1">_xlfn.XLOOKUP(K223,'Age Range'!A:A,'Age Range'!B:B)</f>
        <v>50-55</v>
      </c>
      <c r="M223" s="8" t="s">
        <v>1338</v>
      </c>
      <c r="N223" s="56">
        <f t="shared" ca="1" si="7"/>
        <v>5</v>
      </c>
      <c r="O223" s="79" t="str">
        <f ca="1">_xlfn.XLOOKUP(N223,'LOS Range'!A:A,'LOS Range'!B:B)</f>
        <v>5 - 9 years</v>
      </c>
      <c r="P223" s="1" t="s">
        <v>28</v>
      </c>
      <c r="Q223" s="1" t="s">
        <v>29</v>
      </c>
      <c r="R223" s="2">
        <v>229294.5</v>
      </c>
      <c r="S223" s="1">
        <v>85</v>
      </c>
    </row>
    <row r="224" spans="1:19" s="3" customFormat="1" x14ac:dyDescent="0.2">
      <c r="A224" s="1">
        <v>223</v>
      </c>
      <c r="B224" s="1" t="s">
        <v>1344</v>
      </c>
      <c r="C224" s="1" t="s">
        <v>1345</v>
      </c>
      <c r="D224" s="1" t="s">
        <v>1346</v>
      </c>
      <c r="E224" s="1" t="s">
        <v>1347</v>
      </c>
      <c r="F224" s="1" t="s">
        <v>42</v>
      </c>
      <c r="G224" s="1" t="s">
        <v>78</v>
      </c>
      <c r="H224" s="1" t="s">
        <v>539</v>
      </c>
      <c r="I224" s="1" t="s">
        <v>63</v>
      </c>
      <c r="J224" s="1" t="s">
        <v>1348</v>
      </c>
      <c r="K224" s="56">
        <f t="shared" ca="1" si="6"/>
        <v>39</v>
      </c>
      <c r="L224" s="79" t="str">
        <f ca="1">_xlfn.XLOOKUP(K224,'Age Range'!A:A,'Age Range'!B:B)</f>
        <v>30-39</v>
      </c>
      <c r="M224" s="8" t="s">
        <v>1349</v>
      </c>
      <c r="N224" s="56">
        <f t="shared" ca="1" si="7"/>
        <v>5</v>
      </c>
      <c r="O224" s="79" t="str">
        <f ca="1">_xlfn.XLOOKUP(N224,'LOS Range'!A:A,'LOS Range'!B:B)</f>
        <v>5 - 9 years</v>
      </c>
      <c r="P224" s="1" t="s">
        <v>28</v>
      </c>
      <c r="Q224" s="1" t="s">
        <v>29</v>
      </c>
      <c r="R224" s="2">
        <v>285019.02</v>
      </c>
      <c r="S224" s="1">
        <v>70</v>
      </c>
    </row>
    <row r="225" spans="1:19" s="3" customFormat="1" x14ac:dyDescent="0.2">
      <c r="A225" s="1">
        <v>224</v>
      </c>
      <c r="B225" s="1" t="s">
        <v>1350</v>
      </c>
      <c r="C225" s="1" t="s">
        <v>1351</v>
      </c>
      <c r="D225" s="1" t="s">
        <v>1352</v>
      </c>
      <c r="E225" s="1" t="s">
        <v>1353</v>
      </c>
      <c r="F225" s="1" t="s">
        <v>61</v>
      </c>
      <c r="G225" s="1" t="s">
        <v>78</v>
      </c>
      <c r="H225" s="1" t="s">
        <v>539</v>
      </c>
      <c r="I225" s="1" t="s">
        <v>63</v>
      </c>
      <c r="J225" s="1" t="s">
        <v>1354</v>
      </c>
      <c r="K225" s="56">
        <f t="shared" ca="1" si="6"/>
        <v>37</v>
      </c>
      <c r="L225" s="79" t="str">
        <f ca="1">_xlfn.XLOOKUP(K225,'Age Range'!A:A,'Age Range'!B:B)</f>
        <v>30-39</v>
      </c>
      <c r="M225" s="8" t="s">
        <v>1355</v>
      </c>
      <c r="N225" s="56">
        <f t="shared" ca="1" si="7"/>
        <v>4</v>
      </c>
      <c r="O225" s="79" t="str">
        <f ca="1">_xlfn.XLOOKUP(N225,'LOS Range'!A:A,'LOS Range'!B:B)</f>
        <v>2 - 4 years</v>
      </c>
      <c r="P225" s="1" t="s">
        <v>28</v>
      </c>
      <c r="Q225" s="1" t="s">
        <v>29</v>
      </c>
      <c r="R225" s="2">
        <v>271626</v>
      </c>
      <c r="S225" s="1">
        <v>71</v>
      </c>
    </row>
    <row r="226" spans="1:19" s="3" customFormat="1" x14ac:dyDescent="0.2">
      <c r="A226" s="1">
        <v>225</v>
      </c>
      <c r="B226" s="1" t="s">
        <v>1356</v>
      </c>
      <c r="C226" s="1" t="s">
        <v>1357</v>
      </c>
      <c r="D226" s="1" t="s">
        <v>1358</v>
      </c>
      <c r="E226" s="1" t="s">
        <v>1359</v>
      </c>
      <c r="F226" s="1" t="s">
        <v>42</v>
      </c>
      <c r="G226" s="1" t="s">
        <v>78</v>
      </c>
      <c r="H226" s="1" t="s">
        <v>131</v>
      </c>
      <c r="I226" s="1" t="s">
        <v>63</v>
      </c>
      <c r="J226" s="1" t="s">
        <v>1360</v>
      </c>
      <c r="K226" s="56">
        <f t="shared" ca="1" si="6"/>
        <v>29</v>
      </c>
      <c r="L226" s="79" t="str">
        <f ca="1">_xlfn.XLOOKUP(K226,'Age Range'!A:A,'Age Range'!B:B)</f>
        <v>20-29</v>
      </c>
      <c r="M226" s="8" t="s">
        <v>1361</v>
      </c>
      <c r="N226" s="56">
        <f t="shared" ca="1" si="7"/>
        <v>4</v>
      </c>
      <c r="O226" s="79" t="str">
        <f ca="1">_xlfn.XLOOKUP(N226,'LOS Range'!A:A,'LOS Range'!B:B)</f>
        <v>2 - 4 years</v>
      </c>
      <c r="P226" s="1" t="s">
        <v>56</v>
      </c>
      <c r="Q226" s="1" t="s">
        <v>29</v>
      </c>
      <c r="R226" s="2">
        <v>266621.52</v>
      </c>
      <c r="S226" s="1">
        <v>72</v>
      </c>
    </row>
    <row r="227" spans="1:19" s="3" customFormat="1" x14ac:dyDescent="0.2">
      <c r="A227" s="1">
        <v>226</v>
      </c>
      <c r="B227" s="1" t="s">
        <v>1362</v>
      </c>
      <c r="C227" s="1" t="s">
        <v>1363</v>
      </c>
      <c r="D227" s="1" t="s">
        <v>1364</v>
      </c>
      <c r="E227" s="1" t="s">
        <v>1365</v>
      </c>
      <c r="F227" s="1" t="s">
        <v>42</v>
      </c>
      <c r="G227" s="1" t="s">
        <v>43</v>
      </c>
      <c r="H227" s="1" t="s">
        <v>1272</v>
      </c>
      <c r="I227" s="1" t="s">
        <v>63</v>
      </c>
      <c r="J227" s="1" t="s">
        <v>1366</v>
      </c>
      <c r="K227" s="56">
        <f t="shared" ca="1" si="6"/>
        <v>37</v>
      </c>
      <c r="L227" s="79" t="str">
        <f ca="1">_xlfn.XLOOKUP(K227,'Age Range'!A:A,'Age Range'!B:B)</f>
        <v>30-39</v>
      </c>
      <c r="M227" s="8" t="s">
        <v>1367</v>
      </c>
      <c r="N227" s="56">
        <f t="shared" ca="1" si="7"/>
        <v>4</v>
      </c>
      <c r="O227" s="79" t="str">
        <f ca="1">_xlfn.XLOOKUP(N227,'LOS Range'!A:A,'LOS Range'!B:B)</f>
        <v>2 - 4 years</v>
      </c>
      <c r="P227" s="1" t="s">
        <v>28</v>
      </c>
      <c r="Q227" s="1" t="s">
        <v>29</v>
      </c>
      <c r="R227" s="2">
        <v>175080.8308584</v>
      </c>
      <c r="S227" s="1">
        <v>73</v>
      </c>
    </row>
    <row r="228" spans="1:19" s="3" customFormat="1" x14ac:dyDescent="0.2">
      <c r="A228" s="1">
        <v>227</v>
      </c>
      <c r="B228" s="1" t="s">
        <v>1368</v>
      </c>
      <c r="C228" s="1" t="s">
        <v>1369</v>
      </c>
      <c r="D228" s="1" t="s">
        <v>1370</v>
      </c>
      <c r="E228" s="1" t="s">
        <v>1260</v>
      </c>
      <c r="F228" s="1" t="s">
        <v>42</v>
      </c>
      <c r="G228" s="1" t="s">
        <v>78</v>
      </c>
      <c r="H228" s="1" t="s">
        <v>1277</v>
      </c>
      <c r="I228" s="1" t="s">
        <v>63</v>
      </c>
      <c r="J228" s="1" t="s">
        <v>1371</v>
      </c>
      <c r="K228" s="56">
        <f t="shared" ca="1" si="6"/>
        <v>33</v>
      </c>
      <c r="L228" s="79" t="str">
        <f ca="1">_xlfn.XLOOKUP(K228,'Age Range'!A:A,'Age Range'!B:B)</f>
        <v>30-39</v>
      </c>
      <c r="M228" s="8" t="s">
        <v>1372</v>
      </c>
      <c r="N228" s="56">
        <f t="shared" ca="1" si="7"/>
        <v>4</v>
      </c>
      <c r="O228" s="79" t="str">
        <f ca="1">_xlfn.XLOOKUP(N228,'LOS Range'!A:A,'LOS Range'!B:B)</f>
        <v>2 - 4 years</v>
      </c>
      <c r="P228" s="1" t="s">
        <v>28</v>
      </c>
      <c r="Q228" s="1" t="s">
        <v>561</v>
      </c>
      <c r="R228" s="2">
        <v>422633.95265544119</v>
      </c>
      <c r="S228" s="1">
        <v>74</v>
      </c>
    </row>
    <row r="229" spans="1:19" s="3" customFormat="1" x14ac:dyDescent="0.2">
      <c r="A229" s="1">
        <v>228</v>
      </c>
      <c r="B229" s="1" t="s">
        <v>1373</v>
      </c>
      <c r="C229" s="1" t="s">
        <v>1374</v>
      </c>
      <c r="D229" s="1" t="s">
        <v>1375</v>
      </c>
      <c r="E229" s="1" t="s">
        <v>459</v>
      </c>
      <c r="F229" s="1" t="s">
        <v>42</v>
      </c>
      <c r="G229" s="1" t="s">
        <v>43</v>
      </c>
      <c r="H229" s="1" t="s">
        <v>1376</v>
      </c>
      <c r="I229" s="1" t="s">
        <v>63</v>
      </c>
      <c r="J229" s="1" t="s">
        <v>1377</v>
      </c>
      <c r="K229" s="56">
        <f t="shared" ca="1" si="6"/>
        <v>35</v>
      </c>
      <c r="L229" s="79" t="str">
        <f ca="1">_xlfn.XLOOKUP(K229,'Age Range'!A:A,'Age Range'!B:B)</f>
        <v>30-39</v>
      </c>
      <c r="M229" s="8" t="s">
        <v>1378</v>
      </c>
      <c r="N229" s="56">
        <f t="shared" ca="1" si="7"/>
        <v>4</v>
      </c>
      <c r="O229" s="79" t="str">
        <f ca="1">_xlfn.XLOOKUP(N229,'LOS Range'!A:A,'LOS Range'!B:B)</f>
        <v>2 - 4 years</v>
      </c>
      <c r="P229" s="1" t="s">
        <v>28</v>
      </c>
      <c r="Q229" s="1" t="s">
        <v>29</v>
      </c>
      <c r="R229" s="2">
        <v>201094.14</v>
      </c>
      <c r="S229" s="1">
        <v>75</v>
      </c>
    </row>
    <row r="230" spans="1:19" s="3" customFormat="1" x14ac:dyDescent="0.2">
      <c r="A230" s="1">
        <v>229</v>
      </c>
      <c r="B230" s="1" t="s">
        <v>1379</v>
      </c>
      <c r="C230" s="1" t="s">
        <v>1380</v>
      </c>
      <c r="D230" s="1" t="s">
        <v>1381</v>
      </c>
      <c r="E230" s="1" t="s">
        <v>1382</v>
      </c>
      <c r="F230" s="1" t="s">
        <v>42</v>
      </c>
      <c r="G230" s="1" t="s">
        <v>78</v>
      </c>
      <c r="H230" s="1" t="s">
        <v>1277</v>
      </c>
      <c r="I230" s="1" t="s">
        <v>63</v>
      </c>
      <c r="J230" s="1" t="s">
        <v>1383</v>
      </c>
      <c r="K230" s="56">
        <f t="shared" ca="1" si="6"/>
        <v>45</v>
      </c>
      <c r="L230" s="79" t="str">
        <f ca="1">_xlfn.XLOOKUP(K230,'Age Range'!A:A,'Age Range'!B:B)</f>
        <v>40-49</v>
      </c>
      <c r="M230" s="8" t="s">
        <v>1384</v>
      </c>
      <c r="N230" s="56">
        <f t="shared" ca="1" si="7"/>
        <v>4</v>
      </c>
      <c r="O230" s="79" t="str">
        <f ca="1">_xlfn.XLOOKUP(N230,'LOS Range'!A:A,'LOS Range'!B:B)</f>
        <v>2 - 4 years</v>
      </c>
      <c r="P230" s="1" t="s">
        <v>28</v>
      </c>
      <c r="Q230" s="1" t="s">
        <v>561</v>
      </c>
      <c r="R230" s="2">
        <v>384895.98445595836</v>
      </c>
      <c r="S230" s="1">
        <v>60</v>
      </c>
    </row>
    <row r="231" spans="1:19" s="3" customFormat="1" ht="14.45" customHeight="1" x14ac:dyDescent="0.2">
      <c r="A231" s="1">
        <v>230</v>
      </c>
      <c r="B231" s="1" t="s">
        <v>1385</v>
      </c>
      <c r="C231" s="1" t="s">
        <v>1386</v>
      </c>
      <c r="D231" s="1" t="s">
        <v>1387</v>
      </c>
      <c r="E231" s="1" t="s">
        <v>1388</v>
      </c>
      <c r="F231" s="1" t="s">
        <v>61</v>
      </c>
      <c r="G231" s="1" t="s">
        <v>322</v>
      </c>
      <c r="H231" s="1" t="s">
        <v>1389</v>
      </c>
      <c r="I231" s="1" t="s">
        <v>63</v>
      </c>
      <c r="J231" s="1" t="s">
        <v>1390</v>
      </c>
      <c r="K231" s="56">
        <f t="shared" ca="1" si="6"/>
        <v>35</v>
      </c>
      <c r="L231" s="79" t="str">
        <f ca="1">_xlfn.XLOOKUP(K231,'Age Range'!A:A,'Age Range'!B:B)</f>
        <v>30-39</v>
      </c>
      <c r="M231" s="8" t="s">
        <v>1391</v>
      </c>
      <c r="N231" s="56">
        <f t="shared" ca="1" si="7"/>
        <v>4</v>
      </c>
      <c r="O231" s="79" t="str">
        <f ca="1">_xlfn.XLOOKUP(N231,'LOS Range'!A:A,'LOS Range'!B:B)</f>
        <v>2 - 4 years</v>
      </c>
      <c r="P231" s="1" t="s">
        <v>28</v>
      </c>
      <c r="Q231" s="1" t="s">
        <v>561</v>
      </c>
      <c r="R231" s="10">
        <v>884573.25</v>
      </c>
      <c r="S231" s="1">
        <v>61</v>
      </c>
    </row>
    <row r="232" spans="1:19" s="3" customFormat="1" x14ac:dyDescent="0.2">
      <c r="A232" s="1">
        <v>231</v>
      </c>
      <c r="B232" s="1" t="s">
        <v>1392</v>
      </c>
      <c r="C232" s="1" t="s">
        <v>1393</v>
      </c>
      <c r="D232" s="1" t="s">
        <v>1394</v>
      </c>
      <c r="E232" s="1" t="s">
        <v>1395</v>
      </c>
      <c r="F232" s="1" t="s">
        <v>61</v>
      </c>
      <c r="G232" s="1" t="s">
        <v>78</v>
      </c>
      <c r="H232" s="1" t="s">
        <v>539</v>
      </c>
      <c r="I232" s="1" t="s">
        <v>25</v>
      </c>
      <c r="J232" s="1" t="s">
        <v>1396</v>
      </c>
      <c r="K232" s="56">
        <f t="shared" ca="1" si="6"/>
        <v>51</v>
      </c>
      <c r="L232" s="79" t="str">
        <f ca="1">_xlfn.XLOOKUP(K232,'Age Range'!A:A,'Age Range'!B:B)</f>
        <v>50-55</v>
      </c>
      <c r="M232" s="8" t="s">
        <v>1397</v>
      </c>
      <c r="N232" s="56">
        <f t="shared" ca="1" si="7"/>
        <v>4</v>
      </c>
      <c r="O232" s="79" t="str">
        <f ca="1">_xlfn.XLOOKUP(N232,'LOS Range'!A:A,'LOS Range'!B:B)</f>
        <v>2 - 4 years</v>
      </c>
      <c r="P232" s="1" t="s">
        <v>47</v>
      </c>
      <c r="Q232" s="1" t="s">
        <v>29</v>
      </c>
      <c r="R232" s="2">
        <v>206582.76</v>
      </c>
      <c r="S232" s="1">
        <v>62</v>
      </c>
    </row>
    <row r="233" spans="1:19" s="3" customFormat="1" x14ac:dyDescent="0.2">
      <c r="A233" s="1">
        <v>232</v>
      </c>
      <c r="B233" s="1" t="s">
        <v>1398</v>
      </c>
      <c r="C233" s="1" t="s">
        <v>1399</v>
      </c>
      <c r="D233" s="1" t="s">
        <v>1400</v>
      </c>
      <c r="E233" s="1" t="s">
        <v>1244</v>
      </c>
      <c r="F233" s="1" t="s">
        <v>61</v>
      </c>
      <c r="G233" s="1" t="s">
        <v>78</v>
      </c>
      <c r="H233" s="1" t="s">
        <v>539</v>
      </c>
      <c r="I233" s="1" t="s">
        <v>25</v>
      </c>
      <c r="J233" s="1" t="s">
        <v>1401</v>
      </c>
      <c r="K233" s="56">
        <f t="shared" ca="1" si="6"/>
        <v>49</v>
      </c>
      <c r="L233" s="79" t="str">
        <f ca="1">_xlfn.XLOOKUP(K233,'Age Range'!A:A,'Age Range'!B:B)</f>
        <v>40-49</v>
      </c>
      <c r="M233" s="8" t="s">
        <v>1397</v>
      </c>
      <c r="N233" s="56">
        <f t="shared" ca="1" si="7"/>
        <v>4</v>
      </c>
      <c r="O233" s="79" t="str">
        <f ca="1">_xlfn.XLOOKUP(N233,'LOS Range'!A:A,'LOS Range'!B:B)</f>
        <v>2 - 4 years</v>
      </c>
      <c r="P233" s="1" t="s">
        <v>246</v>
      </c>
      <c r="Q233" s="1" t="s">
        <v>29</v>
      </c>
      <c r="R233" s="2">
        <v>204954</v>
      </c>
      <c r="S233" s="1">
        <v>63</v>
      </c>
    </row>
    <row r="234" spans="1:19" s="3" customFormat="1" x14ac:dyDescent="0.2">
      <c r="A234" s="1">
        <v>233</v>
      </c>
      <c r="B234" s="1" t="s">
        <v>1402</v>
      </c>
      <c r="C234" s="1" t="s">
        <v>1403</v>
      </c>
      <c r="D234" s="1" t="s">
        <v>1404</v>
      </c>
      <c r="E234" s="1" t="s">
        <v>1405</v>
      </c>
      <c r="F234" s="1" t="s">
        <v>61</v>
      </c>
      <c r="G234" s="1" t="s">
        <v>78</v>
      </c>
      <c r="H234" s="1" t="s">
        <v>539</v>
      </c>
      <c r="I234" s="1" t="s">
        <v>25</v>
      </c>
      <c r="J234" s="1" t="s">
        <v>1406</v>
      </c>
      <c r="K234" s="56">
        <f t="shared" ca="1" si="6"/>
        <v>26</v>
      </c>
      <c r="L234" s="79" t="str">
        <f ca="1">_xlfn.XLOOKUP(K234,'Age Range'!A:A,'Age Range'!B:B)</f>
        <v>20-29</v>
      </c>
      <c r="M234" s="8" t="s">
        <v>1407</v>
      </c>
      <c r="N234" s="56">
        <f t="shared" ca="1" si="7"/>
        <v>4</v>
      </c>
      <c r="O234" s="79" t="str">
        <f ca="1">_xlfn.XLOOKUP(N234,'LOS Range'!A:A,'LOS Range'!B:B)</f>
        <v>2 - 4 years</v>
      </c>
      <c r="P234" s="1" t="s">
        <v>28</v>
      </c>
      <c r="Q234" s="1" t="s">
        <v>29</v>
      </c>
      <c r="R234" s="2">
        <v>196746.23999999999</v>
      </c>
      <c r="S234" s="1">
        <v>64</v>
      </c>
    </row>
    <row r="235" spans="1:19" s="3" customFormat="1" x14ac:dyDescent="0.2">
      <c r="A235" s="1">
        <v>234</v>
      </c>
      <c r="B235" s="1" t="s">
        <v>1408</v>
      </c>
      <c r="C235" s="1" t="s">
        <v>1409</v>
      </c>
      <c r="D235" s="1" t="s">
        <v>441</v>
      </c>
      <c r="E235" s="1" t="s">
        <v>1410</v>
      </c>
      <c r="F235" s="1" t="s">
        <v>61</v>
      </c>
      <c r="G235" s="1" t="s">
        <v>78</v>
      </c>
      <c r="H235" s="1" t="s">
        <v>131</v>
      </c>
      <c r="I235" s="1" t="s">
        <v>25</v>
      </c>
      <c r="J235" s="1" t="s">
        <v>1411</v>
      </c>
      <c r="K235" s="56">
        <f t="shared" ca="1" si="6"/>
        <v>35</v>
      </c>
      <c r="L235" s="79" t="str">
        <f ca="1">_xlfn.XLOOKUP(K235,'Age Range'!A:A,'Age Range'!B:B)</f>
        <v>30-39</v>
      </c>
      <c r="M235" s="8" t="s">
        <v>1407</v>
      </c>
      <c r="N235" s="56">
        <f t="shared" ca="1" si="7"/>
        <v>4</v>
      </c>
      <c r="O235" s="79" t="str">
        <f ca="1">_xlfn.XLOOKUP(N235,'LOS Range'!A:A,'LOS Range'!B:B)</f>
        <v>2 - 4 years</v>
      </c>
      <c r="P235" s="1" t="s">
        <v>28</v>
      </c>
      <c r="Q235" s="1" t="s">
        <v>29</v>
      </c>
      <c r="R235" s="2">
        <v>186299.76</v>
      </c>
      <c r="S235" s="1">
        <v>65</v>
      </c>
    </row>
    <row r="236" spans="1:19" s="3" customFormat="1" x14ac:dyDescent="0.2">
      <c r="A236" s="1">
        <v>235</v>
      </c>
      <c r="B236" s="1" t="s">
        <v>1412</v>
      </c>
      <c r="C236" s="1" t="s">
        <v>1413</v>
      </c>
      <c r="D236" s="1" t="s">
        <v>1414</v>
      </c>
      <c r="E236" s="1" t="s">
        <v>217</v>
      </c>
      <c r="F236" s="1" t="s">
        <v>61</v>
      </c>
      <c r="G236" s="1" t="s">
        <v>78</v>
      </c>
      <c r="H236" s="1" t="s">
        <v>539</v>
      </c>
      <c r="I236" s="1" t="s">
        <v>63</v>
      </c>
      <c r="J236" s="1" t="s">
        <v>1415</v>
      </c>
      <c r="K236" s="56">
        <f t="shared" ca="1" si="6"/>
        <v>45</v>
      </c>
      <c r="L236" s="79" t="str">
        <f ca="1">_xlfn.XLOOKUP(K236,'Age Range'!A:A,'Age Range'!B:B)</f>
        <v>40-49</v>
      </c>
      <c r="M236" s="8" t="s">
        <v>1407</v>
      </c>
      <c r="N236" s="56">
        <f t="shared" ca="1" si="7"/>
        <v>4</v>
      </c>
      <c r="O236" s="79" t="str">
        <f ca="1">_xlfn.XLOOKUP(N236,'LOS Range'!A:A,'LOS Range'!B:B)</f>
        <v>2 - 4 years</v>
      </c>
      <c r="P236" s="1" t="s">
        <v>28</v>
      </c>
      <c r="Q236" s="1" t="s">
        <v>29</v>
      </c>
      <c r="R236" s="2">
        <v>184168.5</v>
      </c>
      <c r="S236" s="1">
        <v>50</v>
      </c>
    </row>
    <row r="237" spans="1:19" s="3" customFormat="1" x14ac:dyDescent="0.2">
      <c r="A237" s="1">
        <v>236</v>
      </c>
      <c r="B237" s="1" t="s">
        <v>1416</v>
      </c>
      <c r="C237" s="1" t="s">
        <v>1417</v>
      </c>
      <c r="D237" s="1" t="s">
        <v>1418</v>
      </c>
      <c r="E237" s="1" t="s">
        <v>1419</v>
      </c>
      <c r="F237" s="1" t="s">
        <v>42</v>
      </c>
      <c r="G237" s="1" t="s">
        <v>221</v>
      </c>
      <c r="H237" s="1" t="s">
        <v>1420</v>
      </c>
      <c r="I237" s="1" t="s">
        <v>25</v>
      </c>
      <c r="J237" s="1" t="s">
        <v>1421</v>
      </c>
      <c r="K237" s="56">
        <f t="shared" ca="1" si="6"/>
        <v>26</v>
      </c>
      <c r="L237" s="79" t="str">
        <f ca="1">_xlfn.XLOOKUP(K237,'Age Range'!A:A,'Age Range'!B:B)</f>
        <v>20-29</v>
      </c>
      <c r="M237" s="8" t="s">
        <v>1422</v>
      </c>
      <c r="N237" s="56">
        <f t="shared" ca="1" si="7"/>
        <v>4</v>
      </c>
      <c r="O237" s="79" t="str">
        <f ca="1">_xlfn.XLOOKUP(N237,'LOS Range'!A:A,'LOS Range'!B:B)</f>
        <v>2 - 4 years</v>
      </c>
      <c r="P237" s="1" t="s">
        <v>47</v>
      </c>
      <c r="Q237" s="1" t="s">
        <v>561</v>
      </c>
      <c r="R237" s="2">
        <v>379571.85</v>
      </c>
      <c r="S237" s="1">
        <v>51</v>
      </c>
    </row>
    <row r="238" spans="1:19" s="3" customFormat="1" x14ac:dyDescent="0.2">
      <c r="A238" s="1">
        <v>237</v>
      </c>
      <c r="B238" s="1" t="s">
        <v>1423</v>
      </c>
      <c r="C238" s="1" t="s">
        <v>1424</v>
      </c>
      <c r="D238" s="1" t="s">
        <v>1425</v>
      </c>
      <c r="E238" s="1" t="s">
        <v>1426</v>
      </c>
      <c r="F238" s="1" t="s">
        <v>42</v>
      </c>
      <c r="G238" s="1" t="s">
        <v>78</v>
      </c>
      <c r="H238" s="1" t="s">
        <v>539</v>
      </c>
      <c r="I238" s="1" t="s">
        <v>63</v>
      </c>
      <c r="J238" s="1" t="s">
        <v>1427</v>
      </c>
      <c r="K238" s="56">
        <f t="shared" ca="1" si="6"/>
        <v>37</v>
      </c>
      <c r="L238" s="79" t="str">
        <f ca="1">_xlfn.XLOOKUP(K238,'Age Range'!A:A,'Age Range'!B:B)</f>
        <v>30-39</v>
      </c>
      <c r="M238" s="8" t="s">
        <v>1428</v>
      </c>
      <c r="N238" s="56">
        <f t="shared" ca="1" si="7"/>
        <v>4</v>
      </c>
      <c r="O238" s="79" t="str">
        <f ca="1">_xlfn.XLOOKUP(N238,'LOS Range'!A:A,'LOS Range'!B:B)</f>
        <v>2 - 4 years</v>
      </c>
      <c r="P238" s="1" t="s">
        <v>28</v>
      </c>
      <c r="Q238" s="1" t="s">
        <v>29</v>
      </c>
      <c r="R238" s="2">
        <v>159518.348448</v>
      </c>
      <c r="S238" s="1">
        <v>52</v>
      </c>
    </row>
    <row r="239" spans="1:19" s="3" customFormat="1" x14ac:dyDescent="0.2">
      <c r="A239" s="1">
        <v>238</v>
      </c>
      <c r="B239" s="1" t="s">
        <v>1429</v>
      </c>
      <c r="C239" s="1" t="s">
        <v>1430</v>
      </c>
      <c r="D239" s="1" t="s">
        <v>1431</v>
      </c>
      <c r="E239" s="1" t="s">
        <v>195</v>
      </c>
      <c r="F239" s="1" t="s">
        <v>42</v>
      </c>
      <c r="G239" s="1" t="s">
        <v>221</v>
      </c>
      <c r="H239" s="1" t="s">
        <v>1432</v>
      </c>
      <c r="I239" s="1" t="s">
        <v>25</v>
      </c>
      <c r="J239" s="1" t="s">
        <v>1433</v>
      </c>
      <c r="K239" s="56">
        <f t="shared" ca="1" si="6"/>
        <v>27</v>
      </c>
      <c r="L239" s="79" t="str">
        <f ca="1">_xlfn.XLOOKUP(K239,'Age Range'!A:A,'Age Range'!B:B)</f>
        <v>20-29</v>
      </c>
      <c r="M239" s="8" t="s">
        <v>1428</v>
      </c>
      <c r="N239" s="56">
        <f t="shared" ca="1" si="7"/>
        <v>4</v>
      </c>
      <c r="O239" s="79" t="str">
        <f ca="1">_xlfn.XLOOKUP(N239,'LOS Range'!A:A,'LOS Range'!B:B)</f>
        <v>2 - 4 years</v>
      </c>
      <c r="P239" s="1" t="s">
        <v>56</v>
      </c>
      <c r="Q239" s="1" t="s">
        <v>561</v>
      </c>
      <c r="R239" s="2">
        <v>362529.81</v>
      </c>
      <c r="S239" s="1">
        <v>53</v>
      </c>
    </row>
    <row r="240" spans="1:19" s="3" customFormat="1" x14ac:dyDescent="0.2">
      <c r="A240" s="1">
        <v>239</v>
      </c>
      <c r="B240" s="1" t="s">
        <v>1434</v>
      </c>
      <c r="C240" s="1" t="s">
        <v>1435</v>
      </c>
      <c r="D240" s="1" t="s">
        <v>1436</v>
      </c>
      <c r="E240" s="1" t="s">
        <v>1437</v>
      </c>
      <c r="F240" s="1" t="s">
        <v>61</v>
      </c>
      <c r="G240" s="1" t="s">
        <v>78</v>
      </c>
      <c r="H240" s="1" t="s">
        <v>539</v>
      </c>
      <c r="I240" s="1" t="s">
        <v>63</v>
      </c>
      <c r="J240" s="1" t="s">
        <v>1438</v>
      </c>
      <c r="K240" s="56">
        <f t="shared" ca="1" si="6"/>
        <v>43</v>
      </c>
      <c r="L240" s="79" t="str">
        <f ca="1">_xlfn.XLOOKUP(K240,'Age Range'!A:A,'Age Range'!B:B)</f>
        <v>40-49</v>
      </c>
      <c r="M240" s="8" t="s">
        <v>1407</v>
      </c>
      <c r="N240" s="56">
        <f t="shared" ca="1" si="7"/>
        <v>4</v>
      </c>
      <c r="O240" s="79" t="str">
        <f ca="1">_xlfn.XLOOKUP(N240,'LOS Range'!A:A,'LOS Range'!B:B)</f>
        <v>2 - 4 years</v>
      </c>
      <c r="P240" s="1" t="s">
        <v>66</v>
      </c>
      <c r="Q240" s="1" t="s">
        <v>29</v>
      </c>
      <c r="R240" s="2">
        <v>129860.25</v>
      </c>
      <c r="S240" s="1">
        <v>54</v>
      </c>
    </row>
    <row r="241" spans="1:19" s="3" customFormat="1" x14ac:dyDescent="0.2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6"/>
      <c r="L241" s="15"/>
      <c r="M241" s="17"/>
      <c r="N241" s="17"/>
      <c r="O241" s="17"/>
      <c r="P241" s="15"/>
      <c r="Q241" s="15"/>
      <c r="R241" s="16"/>
      <c r="S241" s="16"/>
    </row>
    <row r="242" spans="1:19" x14ac:dyDescent="0.25">
      <c r="S242" s="16"/>
    </row>
    <row r="243" spans="1:19" x14ac:dyDescent="0.25">
      <c r="S243" s="16"/>
    </row>
    <row r="244" spans="1:19" x14ac:dyDescent="0.25">
      <c r="S244" s="16"/>
    </row>
    <row r="245" spans="1:19" x14ac:dyDescent="0.25">
      <c r="S245" s="16"/>
    </row>
    <row r="246" spans="1:19" x14ac:dyDescent="0.25">
      <c r="S246" s="16"/>
    </row>
    <row r="247" spans="1:19" x14ac:dyDescent="0.25">
      <c r="S247" s="16"/>
    </row>
    <row r="248" spans="1:19" x14ac:dyDescent="0.25">
      <c r="S248" s="16"/>
    </row>
    <row r="249" spans="1:19" x14ac:dyDescent="0.25">
      <c r="S249" s="16"/>
    </row>
    <row r="250" spans="1:19" x14ac:dyDescent="0.25">
      <c r="S250" s="16"/>
    </row>
    <row r="251" spans="1:19" x14ac:dyDescent="0.25">
      <c r="S251" s="16"/>
    </row>
    <row r="252" spans="1:19" x14ac:dyDescent="0.25">
      <c r="S252" s="16"/>
    </row>
    <row r="253" spans="1:19" x14ac:dyDescent="0.25">
      <c r="S253" s="16"/>
    </row>
  </sheetData>
  <autoFilter ref="A1:S240" xr:uid="{856F8844-F0C2-45E8-9385-328B97165F90}">
    <sortState xmlns:xlrd2="http://schemas.microsoft.com/office/spreadsheetml/2017/richdata2" ref="A2:S240">
      <sortCondition ref="A1:A240"/>
    </sortState>
  </autoFilter>
  <phoneticPr fontId="2" type="noConversion"/>
  <conditionalFormatting sqref="B1:B1048576">
    <cfRule type="duplicateValues" dxfId="0" priority="1"/>
  </conditionalFormatting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1462C-8DC0-41A4-869F-20E20812991F}">
  <sheetPr>
    <tabColor theme="4"/>
  </sheetPr>
  <dimension ref="A1:L51"/>
  <sheetViews>
    <sheetView workbookViewId="0">
      <selection activeCell="B3" sqref="B3"/>
    </sheetView>
  </sheetViews>
  <sheetFormatPr defaultColWidth="8.7109375" defaultRowHeight="12.75" x14ac:dyDescent="0.2"/>
  <cols>
    <col min="1" max="1" width="3.28515625" style="11" bestFit="1" customWidth="1"/>
    <col min="2" max="2" width="13.5703125" style="11" bestFit="1" customWidth="1"/>
    <col min="3" max="3" width="37.7109375" style="11" bestFit="1" customWidth="1"/>
    <col min="4" max="4" width="13.140625" style="11" bestFit="1" customWidth="1"/>
    <col min="5" max="5" width="19" style="11" bestFit="1" customWidth="1"/>
    <col min="6" max="6" width="4.5703125" style="11" bestFit="1" customWidth="1"/>
    <col min="7" max="7" width="19" style="11" bestFit="1" customWidth="1"/>
    <col min="8" max="8" width="19.28515625" style="11" bestFit="1" customWidth="1"/>
    <col min="9" max="9" width="7.42578125" style="11" bestFit="1" customWidth="1"/>
    <col min="10" max="10" width="30.5703125" style="11" bestFit="1" customWidth="1"/>
    <col min="11" max="11" width="16.7109375" style="11" bestFit="1" customWidth="1"/>
    <col min="12" max="12" width="11.28515625" style="11" bestFit="1" customWidth="1"/>
    <col min="13" max="16384" width="8.7109375" style="11"/>
  </cols>
  <sheetData>
    <row r="1" spans="1:12" ht="13.5" thickBot="1" x14ac:dyDescent="0.25">
      <c r="A1" s="32" t="s">
        <v>1439</v>
      </c>
      <c r="B1" s="49" t="s">
        <v>1440</v>
      </c>
      <c r="C1" s="33" t="s">
        <v>1441</v>
      </c>
      <c r="D1" s="33" t="s">
        <v>1442</v>
      </c>
      <c r="E1" s="33" t="s">
        <v>1443</v>
      </c>
      <c r="F1" s="33" t="s">
        <v>1444</v>
      </c>
      <c r="G1" s="33" t="s">
        <v>12</v>
      </c>
      <c r="H1" s="33" t="s">
        <v>6</v>
      </c>
      <c r="I1" s="33" t="s">
        <v>1445</v>
      </c>
      <c r="J1" s="33" t="s">
        <v>1446</v>
      </c>
      <c r="K1" s="33" t="s">
        <v>16</v>
      </c>
      <c r="L1" s="48" t="s">
        <v>1447</v>
      </c>
    </row>
    <row r="2" spans="1:12" x14ac:dyDescent="0.2">
      <c r="A2" s="36">
        <v>1</v>
      </c>
      <c r="B2" s="38" t="s">
        <v>1448</v>
      </c>
      <c r="C2" s="37" t="s">
        <v>1449</v>
      </c>
      <c r="D2" s="42">
        <v>44596</v>
      </c>
      <c r="E2" s="42">
        <v>44639</v>
      </c>
      <c r="F2" s="45">
        <v>6.1428571428571432</v>
      </c>
      <c r="G2" s="42">
        <v>44655</v>
      </c>
      <c r="H2" s="1" t="s">
        <v>52</v>
      </c>
      <c r="I2" s="38" t="s">
        <v>1450</v>
      </c>
      <c r="J2" s="1" t="s">
        <v>53</v>
      </c>
      <c r="K2" s="38" t="s">
        <v>29</v>
      </c>
      <c r="L2" s="29" t="s">
        <v>1451</v>
      </c>
    </row>
    <row r="3" spans="1:12" x14ac:dyDescent="0.2">
      <c r="A3" s="28">
        <v>2</v>
      </c>
      <c r="B3" s="39" t="s">
        <v>1452</v>
      </c>
      <c r="C3" s="13" t="s">
        <v>1453</v>
      </c>
      <c r="D3" s="43">
        <v>44452</v>
      </c>
      <c r="E3" s="43">
        <v>44627</v>
      </c>
      <c r="F3" s="46">
        <v>25</v>
      </c>
      <c r="G3" s="43">
        <v>44655</v>
      </c>
      <c r="H3" s="13" t="s">
        <v>52</v>
      </c>
      <c r="I3" s="39" t="s">
        <v>1450</v>
      </c>
      <c r="J3" s="13" t="s">
        <v>62</v>
      </c>
      <c r="K3" s="39" t="s">
        <v>29</v>
      </c>
      <c r="L3" s="29" t="s">
        <v>1451</v>
      </c>
    </row>
    <row r="4" spans="1:12" x14ac:dyDescent="0.2">
      <c r="A4" s="28">
        <v>3</v>
      </c>
      <c r="B4" s="39" t="s">
        <v>1454</v>
      </c>
      <c r="C4" s="13" t="s">
        <v>1455</v>
      </c>
      <c r="D4" s="43">
        <v>44452</v>
      </c>
      <c r="E4" s="43">
        <v>44627</v>
      </c>
      <c r="F4" s="46">
        <v>25</v>
      </c>
      <c r="G4" s="43">
        <v>44655</v>
      </c>
      <c r="H4" s="13" t="s">
        <v>52</v>
      </c>
      <c r="I4" s="39" t="s">
        <v>1450</v>
      </c>
      <c r="J4" s="13" t="s">
        <v>71</v>
      </c>
      <c r="K4" s="39" t="s">
        <v>29</v>
      </c>
      <c r="L4" s="29" t="s">
        <v>1451</v>
      </c>
    </row>
    <row r="5" spans="1:12" x14ac:dyDescent="0.2">
      <c r="A5" s="28">
        <v>4</v>
      </c>
      <c r="B5" s="39" t="s">
        <v>1456</v>
      </c>
      <c r="C5" s="13" t="s">
        <v>1457</v>
      </c>
      <c r="D5" s="43">
        <v>44573</v>
      </c>
      <c r="E5" s="43">
        <v>44634</v>
      </c>
      <c r="F5" s="46">
        <v>8.7142857142857135</v>
      </c>
      <c r="G5" s="43">
        <v>44655</v>
      </c>
      <c r="H5" s="13" t="s">
        <v>78</v>
      </c>
      <c r="I5" s="39" t="s">
        <v>1458</v>
      </c>
      <c r="J5" s="13" t="s">
        <v>79</v>
      </c>
      <c r="K5" s="39" t="s">
        <v>29</v>
      </c>
      <c r="L5" s="29" t="s">
        <v>1451</v>
      </c>
    </row>
    <row r="6" spans="1:12" x14ac:dyDescent="0.2">
      <c r="A6" s="28">
        <v>5</v>
      </c>
      <c r="B6" s="39" t="s">
        <v>1459</v>
      </c>
      <c r="C6" s="13" t="s">
        <v>1460</v>
      </c>
      <c r="D6" s="43">
        <v>44580</v>
      </c>
      <c r="E6" s="43">
        <v>44621</v>
      </c>
      <c r="F6" s="46">
        <v>5.8571428571428568</v>
      </c>
      <c r="G6" s="43">
        <v>44655</v>
      </c>
      <c r="H6" s="13" t="s">
        <v>78</v>
      </c>
      <c r="I6" s="39" t="s">
        <v>1458</v>
      </c>
      <c r="J6" s="13" t="s">
        <v>86</v>
      </c>
      <c r="K6" s="39" t="s">
        <v>29</v>
      </c>
      <c r="L6" s="29" t="s">
        <v>1451</v>
      </c>
    </row>
    <row r="7" spans="1:12" x14ac:dyDescent="0.2">
      <c r="A7" s="28">
        <v>6</v>
      </c>
      <c r="B7" s="39" t="s">
        <v>1461</v>
      </c>
      <c r="C7" s="13" t="s">
        <v>1462</v>
      </c>
      <c r="D7" s="43">
        <v>44487</v>
      </c>
      <c r="E7" s="43">
        <v>44617</v>
      </c>
      <c r="F7" s="46">
        <v>18.571428571428573</v>
      </c>
      <c r="G7" s="43">
        <v>44655</v>
      </c>
      <c r="H7" s="13" t="s">
        <v>35</v>
      </c>
      <c r="I7" s="39" t="s">
        <v>1458</v>
      </c>
      <c r="J7" s="13" t="s">
        <v>24</v>
      </c>
      <c r="K7" s="39" t="s">
        <v>29</v>
      </c>
      <c r="L7" s="29" t="s">
        <v>1451</v>
      </c>
    </row>
    <row r="8" spans="1:12" x14ac:dyDescent="0.2">
      <c r="A8" s="28">
        <v>7</v>
      </c>
      <c r="B8" s="39" t="s">
        <v>1463</v>
      </c>
      <c r="C8" s="13" t="s">
        <v>1464</v>
      </c>
      <c r="D8" s="43">
        <v>44573</v>
      </c>
      <c r="E8" s="43">
        <v>44634</v>
      </c>
      <c r="F8" s="46">
        <v>8.7142857142857135</v>
      </c>
      <c r="G8" s="43">
        <v>44655</v>
      </c>
      <c r="H8" s="13" t="s">
        <v>35</v>
      </c>
      <c r="I8" s="39" t="s">
        <v>1450</v>
      </c>
      <c r="J8" s="13" t="s">
        <v>24</v>
      </c>
      <c r="K8" s="39" t="s">
        <v>561</v>
      </c>
      <c r="L8" s="29" t="s">
        <v>1451</v>
      </c>
    </row>
    <row r="9" spans="1:12" x14ac:dyDescent="0.2">
      <c r="A9" s="28">
        <v>8</v>
      </c>
      <c r="B9" s="39" t="s">
        <v>1465</v>
      </c>
      <c r="C9" s="13" t="s">
        <v>1466</v>
      </c>
      <c r="D9" s="43">
        <v>44573</v>
      </c>
      <c r="E9" s="43">
        <v>44634</v>
      </c>
      <c r="F9" s="46">
        <v>8.7142857142857135</v>
      </c>
      <c r="G9" s="43">
        <v>44655</v>
      </c>
      <c r="H9" s="13" t="s">
        <v>35</v>
      </c>
      <c r="I9" s="39" t="s">
        <v>1450</v>
      </c>
      <c r="J9" s="13" t="s">
        <v>24</v>
      </c>
      <c r="K9" s="39" t="s">
        <v>561</v>
      </c>
      <c r="L9" s="29" t="s">
        <v>1467</v>
      </c>
    </row>
    <row r="10" spans="1:12" x14ac:dyDescent="0.2">
      <c r="A10" s="28">
        <v>9</v>
      </c>
      <c r="B10" s="39" t="s">
        <v>1468</v>
      </c>
      <c r="C10" s="13" t="s">
        <v>1469</v>
      </c>
      <c r="D10" s="43">
        <v>44573</v>
      </c>
      <c r="E10" s="43">
        <v>44634</v>
      </c>
      <c r="F10" s="46">
        <v>8.7142857142857135</v>
      </c>
      <c r="G10" s="43">
        <v>44655</v>
      </c>
      <c r="H10" s="13" t="s">
        <v>78</v>
      </c>
      <c r="I10" s="39" t="s">
        <v>1450</v>
      </c>
      <c r="J10" s="13" t="s">
        <v>79</v>
      </c>
      <c r="K10" s="39" t="s">
        <v>561</v>
      </c>
      <c r="L10" s="29" t="s">
        <v>1467</v>
      </c>
    </row>
    <row r="11" spans="1:12" x14ac:dyDescent="0.2">
      <c r="A11" s="28">
        <v>10</v>
      </c>
      <c r="B11" s="39" t="s">
        <v>1470</v>
      </c>
      <c r="C11" s="13" t="s">
        <v>1471</v>
      </c>
      <c r="D11" s="43">
        <v>44525</v>
      </c>
      <c r="E11" s="43">
        <v>44627</v>
      </c>
      <c r="F11" s="46">
        <v>14.571428571428571</v>
      </c>
      <c r="G11" s="43">
        <v>44655</v>
      </c>
      <c r="H11" s="13" t="s">
        <v>78</v>
      </c>
      <c r="I11" s="39" t="s">
        <v>1458</v>
      </c>
      <c r="J11" s="13" t="s">
        <v>79</v>
      </c>
      <c r="K11" s="39" t="s">
        <v>561</v>
      </c>
      <c r="L11" s="29" t="s">
        <v>1467</v>
      </c>
    </row>
    <row r="12" spans="1:12" x14ac:dyDescent="0.2">
      <c r="A12" s="28">
        <v>11</v>
      </c>
      <c r="B12" s="39" t="s">
        <v>1472</v>
      </c>
      <c r="C12" s="13" t="s">
        <v>1473</v>
      </c>
      <c r="D12" s="43">
        <v>44573</v>
      </c>
      <c r="E12" s="43">
        <v>44634</v>
      </c>
      <c r="F12" s="46">
        <v>8.7142857142857135</v>
      </c>
      <c r="G12" s="43">
        <v>44669</v>
      </c>
      <c r="H12" s="13" t="s">
        <v>78</v>
      </c>
      <c r="I12" s="39" t="s">
        <v>1458</v>
      </c>
      <c r="J12" s="13" t="s">
        <v>79</v>
      </c>
      <c r="K12" s="39" t="s">
        <v>561</v>
      </c>
      <c r="L12" s="29" t="s">
        <v>1467</v>
      </c>
    </row>
    <row r="13" spans="1:12" x14ac:dyDescent="0.2">
      <c r="A13" s="28">
        <v>12</v>
      </c>
      <c r="B13" s="39" t="s">
        <v>1474</v>
      </c>
      <c r="C13" s="13" t="s">
        <v>1475</v>
      </c>
      <c r="D13" s="43">
        <v>44565</v>
      </c>
      <c r="E13" s="43">
        <v>44655</v>
      </c>
      <c r="F13" s="46">
        <v>12.857142857142858</v>
      </c>
      <c r="G13" s="43">
        <v>44669</v>
      </c>
      <c r="H13" s="13" t="s">
        <v>78</v>
      </c>
      <c r="I13" s="39" t="s">
        <v>1458</v>
      </c>
      <c r="J13" s="13" t="s">
        <v>79</v>
      </c>
      <c r="K13" s="39" t="s">
        <v>561</v>
      </c>
      <c r="L13" s="29" t="s">
        <v>1467</v>
      </c>
    </row>
    <row r="14" spans="1:12" x14ac:dyDescent="0.2">
      <c r="A14" s="28">
        <v>13</v>
      </c>
      <c r="B14" s="39" t="s">
        <v>1476</v>
      </c>
      <c r="C14" s="13" t="s">
        <v>1477</v>
      </c>
      <c r="D14" s="43">
        <v>44608</v>
      </c>
      <c r="E14" s="43">
        <v>44656</v>
      </c>
      <c r="F14" s="46">
        <v>6.8571428571428568</v>
      </c>
      <c r="G14" s="43">
        <v>44683</v>
      </c>
      <c r="H14" s="13" t="s">
        <v>78</v>
      </c>
      <c r="I14" s="39" t="s">
        <v>1450</v>
      </c>
      <c r="J14" s="13" t="s">
        <v>79</v>
      </c>
      <c r="K14" s="39" t="s">
        <v>818</v>
      </c>
      <c r="L14" s="29" t="s">
        <v>1467</v>
      </c>
    </row>
    <row r="15" spans="1:12" x14ac:dyDescent="0.2">
      <c r="A15" s="28">
        <v>14</v>
      </c>
      <c r="B15" s="39" t="s">
        <v>1478</v>
      </c>
      <c r="C15" s="13" t="s">
        <v>1479</v>
      </c>
      <c r="D15" s="43">
        <v>44536</v>
      </c>
      <c r="E15" s="43">
        <v>44634</v>
      </c>
      <c r="F15" s="46">
        <v>14</v>
      </c>
      <c r="G15" s="43">
        <v>44683</v>
      </c>
      <c r="H15" s="13" t="s">
        <v>78</v>
      </c>
      <c r="I15" s="39" t="s">
        <v>1450</v>
      </c>
      <c r="J15" s="13" t="s">
        <v>131</v>
      </c>
      <c r="K15" s="39" t="s">
        <v>818</v>
      </c>
      <c r="L15" s="29" t="s">
        <v>1467</v>
      </c>
    </row>
    <row r="16" spans="1:12" x14ac:dyDescent="0.2">
      <c r="A16" s="28">
        <v>15</v>
      </c>
      <c r="B16" s="39" t="s">
        <v>1480</v>
      </c>
      <c r="C16" s="13" t="s">
        <v>1481</v>
      </c>
      <c r="D16" s="43">
        <v>44628</v>
      </c>
      <c r="E16" s="43">
        <v>44661</v>
      </c>
      <c r="F16" s="46">
        <v>4.7142857142857144</v>
      </c>
      <c r="G16" s="43">
        <v>44683</v>
      </c>
      <c r="H16" s="13" t="s">
        <v>78</v>
      </c>
      <c r="I16" s="39" t="s">
        <v>1450</v>
      </c>
      <c r="J16" s="13" t="s">
        <v>79</v>
      </c>
      <c r="K16" s="39" t="s">
        <v>818</v>
      </c>
      <c r="L16" s="29" t="s">
        <v>1467</v>
      </c>
    </row>
    <row r="17" spans="1:12" x14ac:dyDescent="0.2">
      <c r="A17" s="28">
        <v>16</v>
      </c>
      <c r="B17" s="39" t="s">
        <v>1482</v>
      </c>
      <c r="C17" s="13" t="s">
        <v>1483</v>
      </c>
      <c r="D17" s="43">
        <v>44624</v>
      </c>
      <c r="E17" s="43">
        <v>44671</v>
      </c>
      <c r="F17" s="46">
        <v>6.7142857142857144</v>
      </c>
      <c r="G17" s="43">
        <v>44683</v>
      </c>
      <c r="H17" s="13" t="s">
        <v>78</v>
      </c>
      <c r="I17" s="39" t="s">
        <v>1458</v>
      </c>
      <c r="J17" s="13" t="s">
        <v>131</v>
      </c>
      <c r="K17" s="39" t="s">
        <v>818</v>
      </c>
      <c r="L17" s="29" t="s">
        <v>1467</v>
      </c>
    </row>
    <row r="18" spans="1:12" x14ac:dyDescent="0.2">
      <c r="A18" s="28">
        <v>17</v>
      </c>
      <c r="B18" s="39" t="s">
        <v>1484</v>
      </c>
      <c r="C18" s="13" t="s">
        <v>1485</v>
      </c>
      <c r="D18" s="43">
        <v>44624</v>
      </c>
      <c r="E18" s="43">
        <v>44676</v>
      </c>
      <c r="F18" s="46">
        <v>7.4285714285714288</v>
      </c>
      <c r="G18" s="43">
        <v>44683</v>
      </c>
      <c r="H18" s="13" t="s">
        <v>78</v>
      </c>
      <c r="I18" s="39" t="s">
        <v>1458</v>
      </c>
      <c r="J18" s="13" t="s">
        <v>79</v>
      </c>
      <c r="K18" s="39" t="s">
        <v>818</v>
      </c>
      <c r="L18" s="29" t="s">
        <v>1451</v>
      </c>
    </row>
    <row r="19" spans="1:12" x14ac:dyDescent="0.2">
      <c r="A19" s="28">
        <v>18</v>
      </c>
      <c r="B19" s="39" t="s">
        <v>1486</v>
      </c>
      <c r="C19" s="13" t="s">
        <v>1487</v>
      </c>
      <c r="D19" s="43">
        <v>44623</v>
      </c>
      <c r="E19" s="43">
        <v>44670</v>
      </c>
      <c r="F19" s="46">
        <v>6.7142857142857144</v>
      </c>
      <c r="G19" s="43">
        <v>44704</v>
      </c>
      <c r="H19" s="13" t="s">
        <v>78</v>
      </c>
      <c r="I19" s="39" t="s">
        <v>1458</v>
      </c>
      <c r="J19" s="13" t="s">
        <v>79</v>
      </c>
      <c r="K19" s="39" t="s">
        <v>818</v>
      </c>
      <c r="L19" s="29" t="s">
        <v>1451</v>
      </c>
    </row>
    <row r="20" spans="1:12" x14ac:dyDescent="0.2">
      <c r="A20" s="28">
        <v>19</v>
      </c>
      <c r="B20" s="39" t="s">
        <v>1488</v>
      </c>
      <c r="C20" s="13" t="s">
        <v>1489</v>
      </c>
      <c r="D20" s="43">
        <v>44680</v>
      </c>
      <c r="E20" s="43">
        <v>44686</v>
      </c>
      <c r="F20" s="46">
        <v>0.8571428571428571</v>
      </c>
      <c r="G20" s="43">
        <v>44704</v>
      </c>
      <c r="H20" s="13" t="s">
        <v>78</v>
      </c>
      <c r="I20" s="39" t="s">
        <v>1450</v>
      </c>
      <c r="J20" s="13" t="s">
        <v>79</v>
      </c>
      <c r="K20" s="39" t="s">
        <v>885</v>
      </c>
      <c r="L20" s="29" t="s">
        <v>1451</v>
      </c>
    </row>
    <row r="21" spans="1:12" x14ac:dyDescent="0.2">
      <c r="A21" s="28">
        <v>20</v>
      </c>
      <c r="B21" s="39" t="s">
        <v>1490</v>
      </c>
      <c r="C21" s="13" t="s">
        <v>1491</v>
      </c>
      <c r="D21" s="43">
        <v>44657</v>
      </c>
      <c r="E21" s="43">
        <v>44697</v>
      </c>
      <c r="F21" s="46">
        <v>5.7142857142857144</v>
      </c>
      <c r="G21" s="43">
        <v>44704</v>
      </c>
      <c r="H21" s="13" t="s">
        <v>78</v>
      </c>
      <c r="I21" s="39" t="s">
        <v>1450</v>
      </c>
      <c r="J21" s="13" t="s">
        <v>79</v>
      </c>
      <c r="K21" s="39" t="s">
        <v>885</v>
      </c>
      <c r="L21" s="29" t="s">
        <v>1467</v>
      </c>
    </row>
    <row r="22" spans="1:12" x14ac:dyDescent="0.2">
      <c r="A22" s="28">
        <v>21</v>
      </c>
      <c r="B22" s="39" t="s">
        <v>1492</v>
      </c>
      <c r="C22" s="13" t="s">
        <v>1493</v>
      </c>
      <c r="D22" s="43">
        <v>44680</v>
      </c>
      <c r="E22" s="43">
        <v>44697</v>
      </c>
      <c r="F22" s="46">
        <v>2.4285714285714284</v>
      </c>
      <c r="G22" s="43">
        <v>44704</v>
      </c>
      <c r="H22" s="13" t="s">
        <v>78</v>
      </c>
      <c r="I22" s="39" t="s">
        <v>1450</v>
      </c>
      <c r="J22" s="13" t="s">
        <v>79</v>
      </c>
      <c r="K22" s="39" t="s">
        <v>885</v>
      </c>
      <c r="L22" s="29" t="s">
        <v>1451</v>
      </c>
    </row>
    <row r="23" spans="1:12" x14ac:dyDescent="0.2">
      <c r="A23" s="28">
        <v>22</v>
      </c>
      <c r="B23" s="39" t="s">
        <v>1494</v>
      </c>
      <c r="C23" s="13" t="s">
        <v>1495</v>
      </c>
      <c r="D23" s="43">
        <v>44624</v>
      </c>
      <c r="E23" s="43">
        <v>44687</v>
      </c>
      <c r="F23" s="46">
        <v>9</v>
      </c>
      <c r="G23" s="43">
        <v>44704</v>
      </c>
      <c r="H23" s="13" t="s">
        <v>78</v>
      </c>
      <c r="I23" s="39" t="s">
        <v>1458</v>
      </c>
      <c r="J23" s="13" t="s">
        <v>79</v>
      </c>
      <c r="K23" s="39" t="s">
        <v>885</v>
      </c>
      <c r="L23" s="29" t="s">
        <v>1467</v>
      </c>
    </row>
    <row r="24" spans="1:12" x14ac:dyDescent="0.2">
      <c r="A24" s="28">
        <v>23</v>
      </c>
      <c r="B24" s="39" t="s">
        <v>1496</v>
      </c>
      <c r="C24" s="13" t="s">
        <v>1497</v>
      </c>
      <c r="D24" s="43">
        <v>44624</v>
      </c>
      <c r="E24" s="43">
        <v>44696</v>
      </c>
      <c r="F24" s="46">
        <v>10.285714285714286</v>
      </c>
      <c r="G24" s="43">
        <v>44704</v>
      </c>
      <c r="H24" s="13" t="s">
        <v>78</v>
      </c>
      <c r="I24" s="39" t="s">
        <v>1458</v>
      </c>
      <c r="J24" s="13" t="s">
        <v>79</v>
      </c>
      <c r="K24" s="39" t="s">
        <v>885</v>
      </c>
      <c r="L24" s="29" t="s">
        <v>1451</v>
      </c>
    </row>
    <row r="25" spans="1:12" x14ac:dyDescent="0.2">
      <c r="A25" s="28">
        <v>24</v>
      </c>
      <c r="B25" s="39" t="s">
        <v>1498</v>
      </c>
      <c r="C25" s="13" t="s">
        <v>1499</v>
      </c>
      <c r="D25" s="43">
        <v>44624</v>
      </c>
      <c r="E25" s="43">
        <v>44693</v>
      </c>
      <c r="F25" s="46">
        <v>9.8571428571428577</v>
      </c>
      <c r="G25" s="43">
        <v>44704</v>
      </c>
      <c r="H25" s="13" t="s">
        <v>35</v>
      </c>
      <c r="I25" s="39" t="s">
        <v>1458</v>
      </c>
      <c r="J25" s="13" t="s">
        <v>24</v>
      </c>
      <c r="K25" s="39" t="s">
        <v>885</v>
      </c>
      <c r="L25" s="29" t="s">
        <v>1467</v>
      </c>
    </row>
    <row r="26" spans="1:12" x14ac:dyDescent="0.2">
      <c r="A26" s="28">
        <v>25</v>
      </c>
      <c r="B26" s="39" t="s">
        <v>1500</v>
      </c>
      <c r="C26" s="13" t="s">
        <v>1501</v>
      </c>
      <c r="D26" s="43">
        <v>44624</v>
      </c>
      <c r="E26" s="43">
        <v>44696</v>
      </c>
      <c r="F26" s="46">
        <v>10.285714285714286</v>
      </c>
      <c r="G26" s="43">
        <v>44704</v>
      </c>
      <c r="H26" s="13" t="s">
        <v>35</v>
      </c>
      <c r="I26" s="39" t="s">
        <v>1450</v>
      </c>
      <c r="J26" s="13" t="s">
        <v>24</v>
      </c>
      <c r="K26" s="39" t="s">
        <v>29</v>
      </c>
      <c r="L26" s="29" t="s">
        <v>1467</v>
      </c>
    </row>
    <row r="27" spans="1:12" x14ac:dyDescent="0.2">
      <c r="A27" s="28">
        <v>26</v>
      </c>
      <c r="B27" s="39" t="s">
        <v>1502</v>
      </c>
      <c r="C27" s="13" t="s">
        <v>1503</v>
      </c>
      <c r="D27" s="43">
        <v>44680</v>
      </c>
      <c r="E27" s="43">
        <v>44718</v>
      </c>
      <c r="F27" s="46">
        <v>5.4285714285714288</v>
      </c>
      <c r="G27" s="43">
        <v>44732</v>
      </c>
      <c r="H27" s="13" t="s">
        <v>35</v>
      </c>
      <c r="I27" s="39" t="s">
        <v>1450</v>
      </c>
      <c r="J27" s="13" t="s">
        <v>24</v>
      </c>
      <c r="K27" s="39" t="s">
        <v>29</v>
      </c>
      <c r="L27" s="29" t="s">
        <v>1467</v>
      </c>
    </row>
    <row r="28" spans="1:12" x14ac:dyDescent="0.2">
      <c r="A28" s="28">
        <v>27</v>
      </c>
      <c r="B28" s="39" t="s">
        <v>1504</v>
      </c>
      <c r="C28" s="13" t="s">
        <v>1505</v>
      </c>
      <c r="D28" s="43">
        <v>44680</v>
      </c>
      <c r="E28" s="43">
        <v>44718</v>
      </c>
      <c r="F28" s="46">
        <v>5.4285714285714288</v>
      </c>
      <c r="G28" s="43">
        <v>44732</v>
      </c>
      <c r="H28" s="13" t="s">
        <v>78</v>
      </c>
      <c r="I28" s="39" t="s">
        <v>1450</v>
      </c>
      <c r="J28" s="13" t="s">
        <v>79</v>
      </c>
      <c r="K28" s="39" t="s">
        <v>29</v>
      </c>
      <c r="L28" s="29" t="s">
        <v>1467</v>
      </c>
    </row>
    <row r="29" spans="1:12" x14ac:dyDescent="0.2">
      <c r="A29" s="28">
        <v>28</v>
      </c>
      <c r="B29" s="39" t="s">
        <v>1506</v>
      </c>
      <c r="C29" s="13" t="s">
        <v>1507</v>
      </c>
      <c r="D29" s="43">
        <v>44680</v>
      </c>
      <c r="E29" s="43">
        <v>44718</v>
      </c>
      <c r="F29" s="46">
        <v>5.4285714285714288</v>
      </c>
      <c r="G29" s="43">
        <v>44732</v>
      </c>
      <c r="H29" s="13" t="s">
        <v>78</v>
      </c>
      <c r="I29" s="39" t="s">
        <v>1458</v>
      </c>
      <c r="J29" s="13" t="s">
        <v>79</v>
      </c>
      <c r="K29" s="39" t="s">
        <v>29</v>
      </c>
      <c r="L29" s="29" t="s">
        <v>1467</v>
      </c>
    </row>
    <row r="30" spans="1:12" x14ac:dyDescent="0.2">
      <c r="A30" s="28">
        <v>29</v>
      </c>
      <c r="B30" s="39" t="s">
        <v>1508</v>
      </c>
      <c r="C30" s="13" t="s">
        <v>1509</v>
      </c>
      <c r="D30" s="43">
        <v>44680</v>
      </c>
      <c r="E30" s="43">
        <v>44718</v>
      </c>
      <c r="F30" s="46">
        <v>5.4285714285714288</v>
      </c>
      <c r="G30" s="43">
        <v>44732</v>
      </c>
      <c r="H30" s="13" t="s">
        <v>35</v>
      </c>
      <c r="I30" s="39" t="s">
        <v>1458</v>
      </c>
      <c r="J30" s="13" t="s">
        <v>24</v>
      </c>
      <c r="K30" s="39" t="s">
        <v>29</v>
      </c>
      <c r="L30" s="29" t="s">
        <v>1467</v>
      </c>
    </row>
    <row r="31" spans="1:12" x14ac:dyDescent="0.2">
      <c r="A31" s="28">
        <v>30</v>
      </c>
      <c r="B31" s="39" t="s">
        <v>1510</v>
      </c>
      <c r="C31" s="13" t="s">
        <v>1511</v>
      </c>
      <c r="D31" s="43">
        <v>44680</v>
      </c>
      <c r="E31" s="43">
        <v>44718</v>
      </c>
      <c r="F31" s="46">
        <v>5.4285714285714288</v>
      </c>
      <c r="G31" s="43">
        <v>44732</v>
      </c>
      <c r="H31" s="13" t="s">
        <v>78</v>
      </c>
      <c r="I31" s="39" t="s">
        <v>1458</v>
      </c>
      <c r="J31" s="13" t="s">
        <v>86</v>
      </c>
      <c r="K31" s="39" t="s">
        <v>29</v>
      </c>
      <c r="L31" s="29" t="s">
        <v>1467</v>
      </c>
    </row>
    <row r="32" spans="1:12" x14ac:dyDescent="0.2">
      <c r="A32" s="28">
        <v>31</v>
      </c>
      <c r="B32" s="39" t="s">
        <v>1512</v>
      </c>
      <c r="C32" s="13" t="s">
        <v>1513</v>
      </c>
      <c r="D32" s="43">
        <v>44680</v>
      </c>
      <c r="E32" s="43">
        <v>44718</v>
      </c>
      <c r="F32" s="46">
        <v>5.4285714285714288</v>
      </c>
      <c r="G32" s="43">
        <v>44732</v>
      </c>
      <c r="H32" s="13" t="s">
        <v>78</v>
      </c>
      <c r="I32" s="39" t="s">
        <v>1458</v>
      </c>
      <c r="J32" s="13" t="s">
        <v>86</v>
      </c>
      <c r="K32" s="39" t="s">
        <v>561</v>
      </c>
      <c r="L32" s="29" t="s">
        <v>1451</v>
      </c>
    </row>
    <row r="33" spans="1:12" x14ac:dyDescent="0.2">
      <c r="A33" s="28">
        <v>32</v>
      </c>
      <c r="B33" s="39" t="s">
        <v>1514</v>
      </c>
      <c r="C33" s="13" t="s">
        <v>1515</v>
      </c>
      <c r="D33" s="43">
        <v>44680</v>
      </c>
      <c r="E33" s="43">
        <v>44722</v>
      </c>
      <c r="F33" s="46">
        <v>6</v>
      </c>
      <c r="G33" s="43">
        <v>44746</v>
      </c>
      <c r="H33" s="13" t="s">
        <v>221</v>
      </c>
      <c r="I33" s="39" t="s">
        <v>1458</v>
      </c>
      <c r="J33" s="13" t="s">
        <v>222</v>
      </c>
      <c r="K33" s="39" t="s">
        <v>561</v>
      </c>
      <c r="L33" s="29" t="s">
        <v>1451</v>
      </c>
    </row>
    <row r="34" spans="1:12" x14ac:dyDescent="0.2">
      <c r="A34" s="28">
        <v>33</v>
      </c>
      <c r="B34" s="39" t="s">
        <v>1516</v>
      </c>
      <c r="C34" s="13" t="s">
        <v>1517</v>
      </c>
      <c r="D34" s="43">
        <v>44657</v>
      </c>
      <c r="E34" s="43">
        <v>44733</v>
      </c>
      <c r="F34" s="46">
        <v>10.857142857142858</v>
      </c>
      <c r="G34" s="43">
        <v>44746</v>
      </c>
      <c r="H34" s="13" t="s">
        <v>221</v>
      </c>
      <c r="I34" s="39" t="s">
        <v>1458</v>
      </c>
      <c r="J34" s="13" t="s">
        <v>227</v>
      </c>
      <c r="K34" s="39" t="s">
        <v>561</v>
      </c>
      <c r="L34" s="29" t="s">
        <v>1451</v>
      </c>
    </row>
    <row r="35" spans="1:12" x14ac:dyDescent="0.2">
      <c r="A35" s="28">
        <v>34</v>
      </c>
      <c r="B35" s="39" t="s">
        <v>1518</v>
      </c>
      <c r="C35" s="13" t="s">
        <v>1519</v>
      </c>
      <c r="D35" s="43">
        <v>44624</v>
      </c>
      <c r="E35" s="43">
        <v>44736</v>
      </c>
      <c r="F35" s="46">
        <v>16</v>
      </c>
      <c r="G35" s="43">
        <v>44746</v>
      </c>
      <c r="H35" s="13" t="s">
        <v>221</v>
      </c>
      <c r="I35" s="39" t="s">
        <v>1458</v>
      </c>
      <c r="J35" s="13" t="s">
        <v>227</v>
      </c>
      <c r="K35" s="39" t="s">
        <v>561</v>
      </c>
      <c r="L35" s="29" t="s">
        <v>1451</v>
      </c>
    </row>
    <row r="36" spans="1:12" x14ac:dyDescent="0.2">
      <c r="A36" s="28">
        <v>35</v>
      </c>
      <c r="B36" s="39" t="s">
        <v>1520</v>
      </c>
      <c r="C36" s="13" t="s">
        <v>1521</v>
      </c>
      <c r="D36" s="43">
        <v>44657</v>
      </c>
      <c r="E36" s="43">
        <v>44733</v>
      </c>
      <c r="F36" s="46">
        <v>10.857142857142858</v>
      </c>
      <c r="G36" s="43">
        <v>44760</v>
      </c>
      <c r="H36" s="13" t="s">
        <v>43</v>
      </c>
      <c r="I36" s="39" t="s">
        <v>1458</v>
      </c>
      <c r="J36" s="13" t="s">
        <v>238</v>
      </c>
      <c r="K36" s="39" t="s">
        <v>561</v>
      </c>
      <c r="L36" s="29" t="s">
        <v>1451</v>
      </c>
    </row>
    <row r="37" spans="1:12" x14ac:dyDescent="0.2">
      <c r="A37" s="28">
        <v>36</v>
      </c>
      <c r="B37" s="39" t="s">
        <v>1522</v>
      </c>
      <c r="C37" s="13" t="s">
        <v>1523</v>
      </c>
      <c r="D37" s="43">
        <v>44655</v>
      </c>
      <c r="E37" s="43">
        <v>44747</v>
      </c>
      <c r="F37" s="46">
        <v>13.142857142857142</v>
      </c>
      <c r="G37" s="43">
        <v>44760</v>
      </c>
      <c r="H37" s="13" t="s">
        <v>43</v>
      </c>
      <c r="I37" s="39" t="s">
        <v>1458</v>
      </c>
      <c r="J37" s="13" t="s">
        <v>244</v>
      </c>
      <c r="K37" s="39" t="s">
        <v>561</v>
      </c>
      <c r="L37" s="29" t="s">
        <v>1451</v>
      </c>
    </row>
    <row r="38" spans="1:12" x14ac:dyDescent="0.2">
      <c r="A38" s="28">
        <v>37</v>
      </c>
      <c r="B38" s="39" t="s">
        <v>1524</v>
      </c>
      <c r="C38" s="13" t="s">
        <v>1525</v>
      </c>
      <c r="D38" s="43">
        <v>44657</v>
      </c>
      <c r="E38" s="43">
        <v>44747</v>
      </c>
      <c r="F38" s="46">
        <v>12.857142857142858</v>
      </c>
      <c r="G38" s="43">
        <v>44760</v>
      </c>
      <c r="H38" s="13" t="s">
        <v>43</v>
      </c>
      <c r="I38" s="39" t="s">
        <v>1458</v>
      </c>
      <c r="J38" s="13" t="s">
        <v>249</v>
      </c>
      <c r="K38" s="39" t="s">
        <v>818</v>
      </c>
      <c r="L38" s="29" t="s">
        <v>1451</v>
      </c>
    </row>
    <row r="39" spans="1:12" x14ac:dyDescent="0.2">
      <c r="A39" s="28">
        <v>38</v>
      </c>
      <c r="B39" s="39" t="s">
        <v>1526</v>
      </c>
      <c r="C39" s="13" t="s">
        <v>1527</v>
      </c>
      <c r="D39" s="43">
        <v>44680</v>
      </c>
      <c r="E39" s="43">
        <v>44747</v>
      </c>
      <c r="F39" s="46">
        <v>9.5714285714285712</v>
      </c>
      <c r="G39" s="43">
        <v>44760</v>
      </c>
      <c r="H39" s="13" t="s">
        <v>43</v>
      </c>
      <c r="I39" s="39" t="s">
        <v>1458</v>
      </c>
      <c r="J39" s="13" t="s">
        <v>238</v>
      </c>
      <c r="K39" s="39" t="s">
        <v>818</v>
      </c>
      <c r="L39" s="29" t="s">
        <v>1467</v>
      </c>
    </row>
    <row r="40" spans="1:12" x14ac:dyDescent="0.2">
      <c r="A40" s="28">
        <v>39</v>
      </c>
      <c r="B40" s="39" t="s">
        <v>1528</v>
      </c>
      <c r="C40" s="13" t="s">
        <v>1529</v>
      </c>
      <c r="D40" s="43">
        <v>44733</v>
      </c>
      <c r="E40" s="43">
        <v>44747</v>
      </c>
      <c r="F40" s="46">
        <v>2</v>
      </c>
      <c r="G40" s="43">
        <v>44774</v>
      </c>
      <c r="H40" s="13" t="s">
        <v>43</v>
      </c>
      <c r="I40" s="39" t="s">
        <v>1458</v>
      </c>
      <c r="J40" s="13" t="s">
        <v>238</v>
      </c>
      <c r="K40" s="39" t="s">
        <v>818</v>
      </c>
      <c r="L40" s="29" t="s">
        <v>1451</v>
      </c>
    </row>
    <row r="41" spans="1:12" x14ac:dyDescent="0.2">
      <c r="A41" s="28">
        <v>40</v>
      </c>
      <c r="B41" s="39" t="s">
        <v>1530</v>
      </c>
      <c r="C41" s="13" t="s">
        <v>1531</v>
      </c>
      <c r="D41" s="43">
        <v>44680</v>
      </c>
      <c r="E41" s="43">
        <v>44747</v>
      </c>
      <c r="F41" s="46">
        <v>9.5714285714285712</v>
      </c>
      <c r="G41" s="43">
        <v>44774</v>
      </c>
      <c r="H41" s="13" t="s">
        <v>43</v>
      </c>
      <c r="I41" s="39" t="s">
        <v>1450</v>
      </c>
      <c r="J41" s="13" t="s">
        <v>44</v>
      </c>
      <c r="K41" s="39" t="s">
        <v>818</v>
      </c>
      <c r="L41" s="29" t="s">
        <v>1467</v>
      </c>
    </row>
    <row r="42" spans="1:12" x14ac:dyDescent="0.2">
      <c r="A42" s="28">
        <v>41</v>
      </c>
      <c r="B42" s="39" t="s">
        <v>1532</v>
      </c>
      <c r="C42" s="13" t="s">
        <v>1533</v>
      </c>
      <c r="D42" s="43">
        <v>44740</v>
      </c>
      <c r="E42" s="43">
        <v>44767</v>
      </c>
      <c r="F42" s="46">
        <v>3.8571428571428572</v>
      </c>
      <c r="G42" s="43">
        <v>44774</v>
      </c>
      <c r="H42" s="13" t="s">
        <v>52</v>
      </c>
      <c r="I42" s="39" t="s">
        <v>1450</v>
      </c>
      <c r="J42" s="13" t="s">
        <v>267</v>
      </c>
      <c r="K42" s="39" t="s">
        <v>818</v>
      </c>
      <c r="L42" s="29" t="s">
        <v>1451</v>
      </c>
    </row>
    <row r="43" spans="1:12" x14ac:dyDescent="0.2">
      <c r="A43" s="28">
        <v>42</v>
      </c>
      <c r="B43" s="39" t="s">
        <v>1534</v>
      </c>
      <c r="C43" s="13" t="s">
        <v>1535</v>
      </c>
      <c r="D43" s="43">
        <v>44740</v>
      </c>
      <c r="E43" s="43">
        <v>44767</v>
      </c>
      <c r="F43" s="46">
        <v>3.8571428571428572</v>
      </c>
      <c r="G43" s="43">
        <v>44774</v>
      </c>
      <c r="H43" s="13" t="s">
        <v>52</v>
      </c>
      <c r="I43" s="39" t="s">
        <v>1450</v>
      </c>
      <c r="J43" s="13" t="s">
        <v>273</v>
      </c>
      <c r="K43" s="39" t="s">
        <v>818</v>
      </c>
      <c r="L43" s="29" t="s">
        <v>1467</v>
      </c>
    </row>
    <row r="44" spans="1:12" x14ac:dyDescent="0.2">
      <c r="A44" s="28">
        <v>43</v>
      </c>
      <c r="B44" s="39" t="s">
        <v>1536</v>
      </c>
      <c r="C44" s="13" t="s">
        <v>1537</v>
      </c>
      <c r="D44" s="43">
        <v>44700</v>
      </c>
      <c r="E44" s="43">
        <v>44781</v>
      </c>
      <c r="F44" s="46">
        <v>11.571428571428571</v>
      </c>
      <c r="G44" s="43">
        <v>44809</v>
      </c>
      <c r="H44" s="13" t="s">
        <v>35</v>
      </c>
      <c r="I44" s="39" t="s">
        <v>1450</v>
      </c>
      <c r="J44" s="13" t="s">
        <v>24</v>
      </c>
      <c r="K44" s="39" t="s">
        <v>885</v>
      </c>
      <c r="L44" s="29" t="s">
        <v>1451</v>
      </c>
    </row>
    <row r="45" spans="1:12" x14ac:dyDescent="0.2">
      <c r="A45" s="28">
        <v>44</v>
      </c>
      <c r="B45" s="39" t="s">
        <v>1538</v>
      </c>
      <c r="C45" s="13" t="s">
        <v>1539</v>
      </c>
      <c r="D45" s="43">
        <v>44762</v>
      </c>
      <c r="E45" s="43">
        <v>44799</v>
      </c>
      <c r="F45" s="46">
        <v>5.2857142857142856</v>
      </c>
      <c r="G45" s="43">
        <v>44809</v>
      </c>
      <c r="H45" s="13" t="s">
        <v>221</v>
      </c>
      <c r="I45" s="39" t="s">
        <v>1450</v>
      </c>
      <c r="J45" s="13" t="s">
        <v>227</v>
      </c>
      <c r="K45" s="39" t="s">
        <v>885</v>
      </c>
      <c r="L45" s="29" t="s">
        <v>1467</v>
      </c>
    </row>
    <row r="46" spans="1:12" x14ac:dyDescent="0.2">
      <c r="A46" s="28">
        <v>45</v>
      </c>
      <c r="B46" s="39" t="s">
        <v>1540</v>
      </c>
      <c r="C46" s="13" t="s">
        <v>1541</v>
      </c>
      <c r="D46" s="43">
        <v>44713</v>
      </c>
      <c r="E46" s="43">
        <v>44747</v>
      </c>
      <c r="F46" s="46">
        <v>4.8571428571428568</v>
      </c>
      <c r="G46" s="43">
        <v>44809</v>
      </c>
      <c r="H46" s="13" t="s">
        <v>43</v>
      </c>
      <c r="I46" s="39" t="s">
        <v>1450</v>
      </c>
      <c r="J46" s="13" t="s">
        <v>291</v>
      </c>
      <c r="K46" s="39" t="s">
        <v>885</v>
      </c>
      <c r="L46" s="29" t="s">
        <v>1451</v>
      </c>
    </row>
    <row r="47" spans="1:12" x14ac:dyDescent="0.2">
      <c r="A47" s="28">
        <v>46</v>
      </c>
      <c r="B47" s="39" t="s">
        <v>1542</v>
      </c>
      <c r="C47" s="13" t="s">
        <v>1543</v>
      </c>
      <c r="D47" s="43">
        <v>44740</v>
      </c>
      <c r="E47" s="43">
        <v>44790</v>
      </c>
      <c r="F47" s="46">
        <v>7.1428571428571432</v>
      </c>
      <c r="G47" s="43">
        <v>44825</v>
      </c>
      <c r="H47" s="13" t="s">
        <v>43</v>
      </c>
      <c r="I47" s="39" t="s">
        <v>1450</v>
      </c>
      <c r="J47" s="13" t="s">
        <v>291</v>
      </c>
      <c r="K47" s="39" t="s">
        <v>885</v>
      </c>
      <c r="L47" s="29" t="s">
        <v>1467</v>
      </c>
    </row>
    <row r="48" spans="1:12" x14ac:dyDescent="0.2">
      <c r="A48" s="28">
        <v>47</v>
      </c>
      <c r="B48" s="39" t="s">
        <v>1544</v>
      </c>
      <c r="C48" s="13" t="s">
        <v>1545</v>
      </c>
      <c r="D48" s="43">
        <v>44727</v>
      </c>
      <c r="E48" s="43">
        <v>44809</v>
      </c>
      <c r="F48" s="46">
        <v>11.714285714285714</v>
      </c>
      <c r="G48" s="43">
        <v>44825</v>
      </c>
      <c r="H48" s="13" t="s">
        <v>43</v>
      </c>
      <c r="I48" s="39" t="s">
        <v>1450</v>
      </c>
      <c r="J48" s="13" t="s">
        <v>303</v>
      </c>
      <c r="K48" s="39" t="s">
        <v>885</v>
      </c>
      <c r="L48" s="29" t="s">
        <v>1451</v>
      </c>
    </row>
    <row r="49" spans="1:12" x14ac:dyDescent="0.2">
      <c r="A49" s="28">
        <v>48</v>
      </c>
      <c r="B49" s="39" t="s">
        <v>1546</v>
      </c>
      <c r="C49" s="13" t="s">
        <v>1547</v>
      </c>
      <c r="D49" s="43">
        <v>44774</v>
      </c>
      <c r="E49" s="43">
        <v>44809</v>
      </c>
      <c r="F49" s="46">
        <v>5</v>
      </c>
      <c r="G49" s="43">
        <v>44838</v>
      </c>
      <c r="H49" s="13" t="s">
        <v>43</v>
      </c>
      <c r="I49" s="39" t="s">
        <v>1450</v>
      </c>
      <c r="J49" s="13" t="s">
        <v>244</v>
      </c>
      <c r="K49" s="39" t="s">
        <v>885</v>
      </c>
      <c r="L49" s="29" t="s">
        <v>1467</v>
      </c>
    </row>
    <row r="50" spans="1:12" x14ac:dyDescent="0.2">
      <c r="A50" s="28">
        <v>49</v>
      </c>
      <c r="B50" s="39" t="s">
        <v>1548</v>
      </c>
      <c r="C50" s="13" t="s">
        <v>1549</v>
      </c>
      <c r="D50" s="43">
        <v>44774</v>
      </c>
      <c r="E50" s="43">
        <v>44825</v>
      </c>
      <c r="F50" s="46">
        <v>7.2857142857142856</v>
      </c>
      <c r="G50" s="43">
        <v>44838</v>
      </c>
      <c r="H50" s="13" t="s">
        <v>52</v>
      </c>
      <c r="I50" s="39" t="s">
        <v>1450</v>
      </c>
      <c r="J50" s="13" t="s">
        <v>315</v>
      </c>
      <c r="K50" s="39" t="s">
        <v>818</v>
      </c>
      <c r="L50" s="29" t="s">
        <v>1451</v>
      </c>
    </row>
    <row r="51" spans="1:12" ht="13.5" thickBot="1" x14ac:dyDescent="0.25">
      <c r="A51" s="30">
        <v>50</v>
      </c>
      <c r="B51" s="40" t="s">
        <v>1550</v>
      </c>
      <c r="C51" s="40" t="s">
        <v>1551</v>
      </c>
      <c r="D51" s="44">
        <v>44771</v>
      </c>
      <c r="E51" s="44">
        <v>44824</v>
      </c>
      <c r="F51" s="47">
        <v>7.5714285714285712</v>
      </c>
      <c r="G51" s="44">
        <v>44838</v>
      </c>
      <c r="H51" s="40" t="s">
        <v>322</v>
      </c>
      <c r="I51" s="41" t="s">
        <v>1450</v>
      </c>
      <c r="J51" s="40" t="s">
        <v>323</v>
      </c>
      <c r="K51" s="41" t="s">
        <v>818</v>
      </c>
      <c r="L51" s="31" t="s">
        <v>1467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535C4-587F-42AE-900F-F38E76A0A8C9}">
  <sheetPr>
    <tabColor rgb="FFFF0000"/>
  </sheetPr>
  <dimension ref="A1:W49"/>
  <sheetViews>
    <sheetView workbookViewId="0">
      <selection activeCell="N16" sqref="N16"/>
    </sheetView>
  </sheetViews>
  <sheetFormatPr defaultColWidth="11.42578125" defaultRowHeight="12.75" x14ac:dyDescent="0.2"/>
  <cols>
    <col min="1" max="1" width="3.85546875" style="11" bestFit="1" customWidth="1"/>
    <col min="2" max="2" width="10.85546875" style="11" bestFit="1" customWidth="1"/>
    <col min="3" max="3" width="27.7109375" style="11" bestFit="1" customWidth="1"/>
    <col min="4" max="4" width="7.5703125" style="11" bestFit="1" customWidth="1"/>
    <col min="5" max="5" width="17.42578125" style="11" bestFit="1" customWidth="1"/>
    <col min="6" max="6" width="27.85546875" style="11" bestFit="1" customWidth="1"/>
    <col min="7" max="7" width="11.140625" style="11" bestFit="1" customWidth="1"/>
    <col min="8" max="8" width="7.140625" style="11" bestFit="1" customWidth="1"/>
    <col min="9" max="9" width="11.7109375" style="11" bestFit="1" customWidth="1"/>
    <col min="10" max="10" width="4.140625" style="11" bestFit="1" customWidth="1"/>
    <col min="11" max="11" width="10.140625" style="11" bestFit="1" customWidth="1"/>
    <col min="12" max="12" width="16" style="11" bestFit="1" customWidth="1"/>
    <col min="13" max="13" width="16" style="11" customWidth="1"/>
    <col min="14" max="14" width="19.140625" style="11" bestFit="1" customWidth="1"/>
    <col min="15" max="15" width="10.5703125" style="11" bestFit="1" customWidth="1"/>
    <col min="16" max="16" width="16.7109375" style="11" bestFit="1" customWidth="1"/>
    <col min="17" max="17" width="11.42578125" style="11"/>
    <col min="18" max="18" width="17.5703125" style="11" bestFit="1" customWidth="1"/>
    <col min="19" max="19" width="18.7109375" style="11" bestFit="1" customWidth="1"/>
    <col min="20" max="20" width="13.85546875" style="11" bestFit="1" customWidth="1"/>
    <col min="21" max="21" width="13.85546875" style="11" customWidth="1"/>
    <col min="22" max="22" width="20.85546875" style="11" bestFit="1" customWidth="1"/>
    <col min="23" max="23" width="17.42578125" style="11" bestFit="1" customWidth="1"/>
    <col min="24" max="16384" width="11.42578125" style="11"/>
  </cols>
  <sheetData>
    <row r="1" spans="1:23" s="5" customFormat="1" ht="13.5" thickBot="1" x14ac:dyDescent="0.3">
      <c r="A1" s="32" t="s">
        <v>0</v>
      </c>
      <c r="B1" s="33" t="s">
        <v>1552</v>
      </c>
      <c r="C1" s="33" t="s">
        <v>1553</v>
      </c>
      <c r="D1" s="33" t="s">
        <v>1554</v>
      </c>
      <c r="E1" s="33" t="s">
        <v>6</v>
      </c>
      <c r="F1" s="33" t="s">
        <v>7</v>
      </c>
      <c r="G1" s="33" t="s">
        <v>1555</v>
      </c>
      <c r="H1" s="33" t="s">
        <v>8</v>
      </c>
      <c r="I1" s="33" t="s">
        <v>9</v>
      </c>
      <c r="J1" s="33" t="s">
        <v>10</v>
      </c>
      <c r="K1" s="33" t="s">
        <v>11</v>
      </c>
      <c r="L1" s="33" t="s">
        <v>12</v>
      </c>
      <c r="M1" s="33" t="s">
        <v>1556</v>
      </c>
      <c r="N1" s="33" t="s">
        <v>13</v>
      </c>
      <c r="O1" s="33" t="s">
        <v>14</v>
      </c>
      <c r="P1" s="33" t="s">
        <v>29</v>
      </c>
      <c r="Q1" s="55" t="s">
        <v>1557</v>
      </c>
      <c r="R1" s="35" t="s">
        <v>18</v>
      </c>
      <c r="S1" s="33" t="s">
        <v>1558</v>
      </c>
      <c r="T1" s="34" t="s">
        <v>1559</v>
      </c>
      <c r="U1" s="54" t="s">
        <v>1560</v>
      </c>
      <c r="V1" s="55" t="s">
        <v>1561</v>
      </c>
      <c r="W1" s="33" t="s">
        <v>1562</v>
      </c>
    </row>
    <row r="2" spans="1:23" s="3" customFormat="1" x14ac:dyDescent="0.2">
      <c r="A2" s="1">
        <v>1</v>
      </c>
      <c r="B2" s="1" t="s">
        <v>48</v>
      </c>
      <c r="C2" s="1" t="s">
        <v>1563</v>
      </c>
      <c r="D2" s="1" t="s">
        <v>1564</v>
      </c>
      <c r="E2" s="1" t="s">
        <v>52</v>
      </c>
      <c r="F2" s="1" t="s">
        <v>53</v>
      </c>
      <c r="G2" s="1" t="s">
        <v>1565</v>
      </c>
      <c r="H2" s="1" t="s">
        <v>25</v>
      </c>
      <c r="I2" s="1" t="str">
        <f>VLOOKUP(B:B,Dataset!B:J,8,)</f>
        <v>Female</v>
      </c>
      <c r="J2" s="57"/>
      <c r="K2" s="57"/>
      <c r="L2" s="6">
        <v>37909</v>
      </c>
      <c r="M2" s="7">
        <v>44829</v>
      </c>
      <c r="N2" s="57"/>
      <c r="O2" s="57"/>
      <c r="P2" s="1" t="s">
        <v>29</v>
      </c>
      <c r="Q2" s="57"/>
      <c r="R2" s="1">
        <v>90</v>
      </c>
      <c r="S2" s="57"/>
      <c r="T2" s="2">
        <v>747776.22344640002</v>
      </c>
      <c r="U2" s="59" t="e">
        <f>VLOOKUP(Exit!B:B,Dataset!B:S,21,)</f>
        <v>#REF!</v>
      </c>
      <c r="V2" s="1" t="s">
        <v>1566</v>
      </c>
      <c r="W2" s="1" t="s">
        <v>1567</v>
      </c>
    </row>
    <row r="3" spans="1:23" s="3" customFormat="1" x14ac:dyDescent="0.2">
      <c r="A3" s="1">
        <v>2</v>
      </c>
      <c r="B3" s="1" t="s">
        <v>82</v>
      </c>
      <c r="C3" s="1" t="s">
        <v>1568</v>
      </c>
      <c r="D3" s="1" t="s">
        <v>1564</v>
      </c>
      <c r="E3" s="1" t="s">
        <v>78</v>
      </c>
      <c r="F3" s="1" t="s">
        <v>86</v>
      </c>
      <c r="G3" s="1" t="s">
        <v>1565</v>
      </c>
      <c r="H3" s="1" t="s">
        <v>63</v>
      </c>
      <c r="I3" s="1" t="str">
        <f>VLOOKUP(B:B,Dataset!B:J,8,)</f>
        <v>Male</v>
      </c>
      <c r="J3" s="57"/>
      <c r="K3" s="57"/>
      <c r="L3" s="8">
        <v>35552</v>
      </c>
      <c r="M3" s="7">
        <v>44759</v>
      </c>
      <c r="N3" s="57"/>
      <c r="O3" s="57"/>
      <c r="P3" s="1" t="s">
        <v>29</v>
      </c>
      <c r="Q3" s="57"/>
      <c r="R3" s="1">
        <v>94</v>
      </c>
      <c r="S3" s="57"/>
      <c r="T3" s="2">
        <v>708822.46590720001</v>
      </c>
      <c r="U3" s="59" t="e">
        <f>VLOOKUP(Exit!B:B,Dataset!B:S,21,)</f>
        <v>#REF!</v>
      </c>
      <c r="V3" s="1" t="s">
        <v>1566</v>
      </c>
      <c r="W3" s="1" t="s">
        <v>1567</v>
      </c>
    </row>
    <row r="4" spans="1:23" s="3" customFormat="1" x14ac:dyDescent="0.2">
      <c r="A4" s="1">
        <v>3</v>
      </c>
      <c r="B4" s="1" t="s">
        <v>105</v>
      </c>
      <c r="C4" s="1" t="s">
        <v>1569</v>
      </c>
      <c r="D4" s="1" t="s">
        <v>1564</v>
      </c>
      <c r="E4" s="1" t="s">
        <v>78</v>
      </c>
      <c r="F4" s="1" t="s">
        <v>79</v>
      </c>
      <c r="G4" s="1" t="s">
        <v>1570</v>
      </c>
      <c r="H4" s="1" t="s">
        <v>25</v>
      </c>
      <c r="I4" s="1" t="str">
        <f>VLOOKUP(B:B,Dataset!B:J,8,)</f>
        <v>Female</v>
      </c>
      <c r="J4" s="57"/>
      <c r="K4" s="57"/>
      <c r="L4" s="8">
        <v>37258</v>
      </c>
      <c r="M4" s="7">
        <v>44804</v>
      </c>
      <c r="N4" s="57"/>
      <c r="O4" s="57"/>
      <c r="P4" s="1" t="s">
        <v>29</v>
      </c>
      <c r="Q4" s="57"/>
      <c r="R4" s="1">
        <v>83</v>
      </c>
      <c r="S4" s="57"/>
      <c r="T4" s="2">
        <v>721284.89896373055</v>
      </c>
      <c r="U4" s="59" t="e">
        <f>VLOOKUP(Exit!B:B,Dataset!B:S,21,)</f>
        <v>#REF!</v>
      </c>
      <c r="V4" s="1" t="s">
        <v>1566</v>
      </c>
      <c r="W4" s="1" t="s">
        <v>1567</v>
      </c>
    </row>
    <row r="5" spans="1:23" s="3" customFormat="1" x14ac:dyDescent="0.2">
      <c r="A5" s="1">
        <v>4</v>
      </c>
      <c r="B5" s="1" t="s">
        <v>134</v>
      </c>
      <c r="C5" s="1" t="s">
        <v>1571</v>
      </c>
      <c r="D5" s="1" t="s">
        <v>1564</v>
      </c>
      <c r="E5" s="1" t="s">
        <v>78</v>
      </c>
      <c r="F5" s="1" t="s">
        <v>79</v>
      </c>
      <c r="G5" s="1" t="s">
        <v>1570</v>
      </c>
      <c r="H5" s="1" t="s">
        <v>25</v>
      </c>
      <c r="I5" s="1" t="str">
        <f>VLOOKUP(B:B,Dataset!B:J,8,)</f>
        <v>Female</v>
      </c>
      <c r="J5" s="57"/>
      <c r="K5" s="57"/>
      <c r="L5" s="8">
        <v>40238</v>
      </c>
      <c r="M5" s="7">
        <v>44715</v>
      </c>
      <c r="N5" s="57"/>
      <c r="O5" s="57"/>
      <c r="P5" s="1" t="s">
        <v>29</v>
      </c>
      <c r="Q5" s="57"/>
      <c r="R5" s="1">
        <v>72</v>
      </c>
      <c r="S5" s="57"/>
      <c r="T5" s="2">
        <v>793816.24870466325</v>
      </c>
      <c r="U5" s="59" t="e">
        <f>VLOOKUP(Exit!B:B,Dataset!B:S,21,)</f>
        <v>#REF!</v>
      </c>
      <c r="V5" s="1" t="s">
        <v>1566</v>
      </c>
      <c r="W5" s="1" t="s">
        <v>1567</v>
      </c>
    </row>
    <row r="6" spans="1:23" s="3" customFormat="1" x14ac:dyDescent="0.2">
      <c r="A6" s="1">
        <v>5</v>
      </c>
      <c r="B6" s="1" t="s">
        <v>160</v>
      </c>
      <c r="C6" s="1" t="s">
        <v>1572</v>
      </c>
      <c r="D6" s="1" t="s">
        <v>1564</v>
      </c>
      <c r="E6" s="1" t="s">
        <v>78</v>
      </c>
      <c r="F6" s="1" t="s">
        <v>79</v>
      </c>
      <c r="G6" s="1" t="s">
        <v>1570</v>
      </c>
      <c r="H6" s="1" t="s">
        <v>25</v>
      </c>
      <c r="I6" s="1" t="str">
        <f>VLOOKUP(B:B,Dataset!B:J,8,)</f>
        <v>Female</v>
      </c>
      <c r="J6" s="57"/>
      <c r="K6" s="57"/>
      <c r="L6" s="8">
        <v>40339</v>
      </c>
      <c r="M6" s="7">
        <v>44687</v>
      </c>
      <c r="N6" s="57"/>
      <c r="O6" s="57"/>
      <c r="P6" s="1" t="s">
        <v>29</v>
      </c>
      <c r="Q6" s="57"/>
      <c r="R6" s="1">
        <v>61</v>
      </c>
      <c r="S6" s="57"/>
      <c r="T6" s="2">
        <v>566886.92628479993</v>
      </c>
      <c r="U6" s="59" t="e">
        <f>VLOOKUP(Exit!B:B,Dataset!B:S,21,)</f>
        <v>#REF!</v>
      </c>
      <c r="V6" s="1" t="s">
        <v>1573</v>
      </c>
      <c r="W6" s="1" t="s">
        <v>1567</v>
      </c>
    </row>
    <row r="7" spans="1:23" s="3" customFormat="1" x14ac:dyDescent="0.2">
      <c r="A7" s="1">
        <v>6</v>
      </c>
      <c r="B7" s="1" t="s">
        <v>180</v>
      </c>
      <c r="C7" s="1" t="s">
        <v>1574</v>
      </c>
      <c r="D7" s="1" t="s">
        <v>34</v>
      </c>
      <c r="E7" s="1" t="s">
        <v>35</v>
      </c>
      <c r="F7" s="1" t="s">
        <v>24</v>
      </c>
      <c r="G7" s="1" t="s">
        <v>1575</v>
      </c>
      <c r="H7" s="1" t="s">
        <v>63</v>
      </c>
      <c r="I7" s="1" t="str">
        <f>VLOOKUP(B:B,Dataset!B:J,8,)</f>
        <v>Male</v>
      </c>
      <c r="J7" s="57"/>
      <c r="K7" s="57"/>
      <c r="L7" s="8">
        <v>38055</v>
      </c>
      <c r="M7" s="7">
        <v>44711</v>
      </c>
      <c r="N7" s="57"/>
      <c r="O7" s="57"/>
      <c r="P7" s="1" t="s">
        <v>29</v>
      </c>
      <c r="Q7" s="57"/>
      <c r="R7" s="1">
        <v>50</v>
      </c>
      <c r="S7" s="57"/>
      <c r="T7" s="2">
        <v>660124.11009600002</v>
      </c>
      <c r="U7" s="59" t="e">
        <f>VLOOKUP(Exit!B:B,Dataset!B:S,21,)</f>
        <v>#REF!</v>
      </c>
      <c r="V7" s="1" t="s">
        <v>1573</v>
      </c>
      <c r="W7" s="1" t="s">
        <v>1567</v>
      </c>
    </row>
    <row r="8" spans="1:23" s="3" customFormat="1" x14ac:dyDescent="0.2">
      <c r="A8" s="1">
        <v>7</v>
      </c>
      <c r="B8" s="1" t="s">
        <v>208</v>
      </c>
      <c r="C8" s="1" t="s">
        <v>1576</v>
      </c>
      <c r="D8" s="1" t="s">
        <v>1564</v>
      </c>
      <c r="E8" s="1" t="s">
        <v>78</v>
      </c>
      <c r="F8" s="1" t="s">
        <v>86</v>
      </c>
      <c r="G8" s="1" t="s">
        <v>1565</v>
      </c>
      <c r="H8" s="1" t="s">
        <v>25</v>
      </c>
      <c r="I8" s="1" t="str">
        <f>VLOOKUP(B:B,Dataset!B:J,8,)</f>
        <v>Female</v>
      </c>
      <c r="J8" s="57"/>
      <c r="K8" s="57"/>
      <c r="L8" s="8">
        <v>41232</v>
      </c>
      <c r="M8" s="7">
        <v>44820</v>
      </c>
      <c r="N8" s="57"/>
      <c r="O8" s="57"/>
      <c r="P8" s="1" t="s">
        <v>29</v>
      </c>
      <c r="Q8" s="57"/>
      <c r="R8" s="1">
        <v>55</v>
      </c>
      <c r="S8" s="57"/>
      <c r="T8" s="2">
        <v>939182.042976</v>
      </c>
      <c r="U8" s="59" t="e">
        <f>VLOOKUP(Exit!B:B,Dataset!B:S,21,)</f>
        <v>#REF!</v>
      </c>
      <c r="V8" s="1" t="s">
        <v>1573</v>
      </c>
      <c r="W8" s="1" t="s">
        <v>1567</v>
      </c>
    </row>
    <row r="9" spans="1:23" s="3" customFormat="1" x14ac:dyDescent="0.2">
      <c r="A9" s="1">
        <v>8</v>
      </c>
      <c r="B9" s="1" t="s">
        <v>234</v>
      </c>
      <c r="C9" s="1" t="s">
        <v>1577</v>
      </c>
      <c r="D9" s="1" t="s">
        <v>1564</v>
      </c>
      <c r="E9" s="1" t="s">
        <v>43</v>
      </c>
      <c r="F9" s="1" t="s">
        <v>238</v>
      </c>
      <c r="G9" s="1" t="s">
        <v>1575</v>
      </c>
      <c r="H9" s="1" t="s">
        <v>63</v>
      </c>
      <c r="I9" s="1" t="str">
        <f>VLOOKUP(B:B,Dataset!B:J,8,)</f>
        <v>Male</v>
      </c>
      <c r="J9" s="57"/>
      <c r="K9" s="57"/>
      <c r="L9" s="8">
        <v>41290</v>
      </c>
      <c r="M9" s="7">
        <v>44813</v>
      </c>
      <c r="N9" s="57"/>
      <c r="O9" s="57"/>
      <c r="P9" s="1" t="s">
        <v>29</v>
      </c>
      <c r="Q9" s="57"/>
      <c r="R9" s="1">
        <v>44</v>
      </c>
      <c r="S9" s="57"/>
      <c r="T9" s="2">
        <v>681496.8</v>
      </c>
      <c r="U9" s="59" t="e">
        <f>VLOOKUP(Exit!B:B,Dataset!B:S,21,)</f>
        <v>#REF!</v>
      </c>
      <c r="V9" s="1" t="s">
        <v>1573</v>
      </c>
      <c r="W9" s="1" t="s">
        <v>1567</v>
      </c>
    </row>
    <row r="10" spans="1:23" s="3" customFormat="1" x14ac:dyDescent="0.2">
      <c r="A10" s="1">
        <v>9</v>
      </c>
      <c r="B10" s="1" t="s">
        <v>38</v>
      </c>
      <c r="C10" s="1" t="s">
        <v>1578</v>
      </c>
      <c r="D10" s="1" t="s">
        <v>1564</v>
      </c>
      <c r="E10" s="1" t="s">
        <v>43</v>
      </c>
      <c r="F10" s="1" t="s">
        <v>44</v>
      </c>
      <c r="G10" s="1" t="s">
        <v>1565</v>
      </c>
      <c r="H10" s="1" t="s">
        <v>25</v>
      </c>
      <c r="I10" s="1" t="str">
        <f>VLOOKUP(B:B,Dataset!B:J,8,)</f>
        <v>Female</v>
      </c>
      <c r="J10" s="57"/>
      <c r="K10" s="57"/>
      <c r="L10" s="8">
        <v>39664</v>
      </c>
      <c r="M10" s="7">
        <v>44827</v>
      </c>
      <c r="N10" s="57"/>
      <c r="O10" s="57"/>
      <c r="P10" s="1" t="s">
        <v>29</v>
      </c>
      <c r="Q10" s="57"/>
      <c r="R10" s="1">
        <v>33</v>
      </c>
      <c r="S10" s="57"/>
      <c r="T10" s="2">
        <v>690901.11886080005</v>
      </c>
      <c r="U10" s="59" t="e">
        <f>VLOOKUP(Exit!B:B,Dataset!B:S,21,)</f>
        <v>#REF!</v>
      </c>
      <c r="V10" s="1" t="s">
        <v>1579</v>
      </c>
      <c r="W10" s="1" t="s">
        <v>1580</v>
      </c>
    </row>
    <row r="11" spans="1:23" s="3" customFormat="1" x14ac:dyDescent="0.2">
      <c r="A11" s="1">
        <v>10</v>
      </c>
      <c r="B11" s="1" t="s">
        <v>287</v>
      </c>
      <c r="C11" s="1" t="s">
        <v>1581</v>
      </c>
      <c r="D11" s="1" t="s">
        <v>1582</v>
      </c>
      <c r="E11" s="1" t="s">
        <v>43</v>
      </c>
      <c r="F11" s="1" t="s">
        <v>291</v>
      </c>
      <c r="G11" s="1" t="s">
        <v>1565</v>
      </c>
      <c r="H11" s="1" t="s">
        <v>63</v>
      </c>
      <c r="I11" s="1" t="str">
        <f>VLOOKUP(B:B,Dataset!B:J,8,)</f>
        <v>Male</v>
      </c>
      <c r="J11" s="57"/>
      <c r="K11" s="57"/>
      <c r="L11" s="8">
        <v>38504</v>
      </c>
      <c r="M11" s="7">
        <v>44831</v>
      </c>
      <c r="N11" s="57"/>
      <c r="O11" s="57"/>
      <c r="P11" s="1" t="s">
        <v>29</v>
      </c>
      <c r="Q11" s="57"/>
      <c r="R11" s="1">
        <v>92</v>
      </c>
      <c r="S11" s="57"/>
      <c r="T11" s="9">
        <v>1621826.3232</v>
      </c>
      <c r="U11" s="59" t="e">
        <f>VLOOKUP(Exit!B:B,Dataset!B:S,21,)</f>
        <v>#REF!</v>
      </c>
      <c r="V11" s="1" t="s">
        <v>1583</v>
      </c>
      <c r="W11" s="1" t="s">
        <v>1580</v>
      </c>
    </row>
    <row r="12" spans="1:23" s="3" customFormat="1" x14ac:dyDescent="0.2">
      <c r="A12" s="1">
        <v>11</v>
      </c>
      <c r="B12" s="1" t="s">
        <v>318</v>
      </c>
      <c r="C12" s="1" t="s">
        <v>1584</v>
      </c>
      <c r="D12" s="1" t="s">
        <v>1582</v>
      </c>
      <c r="E12" s="1" t="s">
        <v>322</v>
      </c>
      <c r="F12" s="1" t="s">
        <v>323</v>
      </c>
      <c r="G12" s="1" t="s">
        <v>1570</v>
      </c>
      <c r="H12" s="1" t="s">
        <v>25</v>
      </c>
      <c r="I12" s="1" t="str">
        <f>VLOOKUP(B:B,Dataset!B:J,8,)</f>
        <v>Female</v>
      </c>
      <c r="J12" s="57"/>
      <c r="K12" s="57"/>
      <c r="L12" s="8">
        <v>39678</v>
      </c>
      <c r="M12" s="7">
        <v>44717</v>
      </c>
      <c r="N12" s="57"/>
      <c r="O12" s="57"/>
      <c r="P12" s="1" t="s">
        <v>29</v>
      </c>
      <c r="Q12" s="57"/>
      <c r="R12" s="1">
        <v>81</v>
      </c>
      <c r="S12" s="57"/>
      <c r="T12" s="2">
        <v>1299083.04</v>
      </c>
      <c r="U12" s="59" t="e">
        <f>VLOOKUP(Exit!B:B,Dataset!B:S,21,)</f>
        <v>#REF!</v>
      </c>
      <c r="V12" s="1" t="s">
        <v>1583</v>
      </c>
      <c r="W12" s="1" t="s">
        <v>1580</v>
      </c>
    </row>
    <row r="13" spans="1:23" s="3" customFormat="1" x14ac:dyDescent="0.2">
      <c r="A13" s="1">
        <v>12</v>
      </c>
      <c r="B13" s="1" t="s">
        <v>354</v>
      </c>
      <c r="C13" s="1" t="s">
        <v>1585</v>
      </c>
      <c r="D13" s="1" t="s">
        <v>1564</v>
      </c>
      <c r="E13" s="1" t="s">
        <v>78</v>
      </c>
      <c r="F13" s="1" t="s">
        <v>79</v>
      </c>
      <c r="G13" s="1" t="s">
        <v>1570</v>
      </c>
      <c r="H13" s="1" t="s">
        <v>63</v>
      </c>
      <c r="I13" s="1" t="str">
        <f>VLOOKUP(B:B,Dataset!B:J,8,)</f>
        <v>Male</v>
      </c>
      <c r="J13" s="57"/>
      <c r="K13" s="57"/>
      <c r="L13" s="8">
        <v>40878</v>
      </c>
      <c r="M13" s="7">
        <v>44776</v>
      </c>
      <c r="N13" s="57"/>
      <c r="O13" s="57"/>
      <c r="P13" s="1" t="s">
        <v>29</v>
      </c>
      <c r="Q13" s="57"/>
      <c r="R13" s="1">
        <v>70</v>
      </c>
      <c r="S13" s="57"/>
      <c r="T13" s="2">
        <v>592484.97427200002</v>
      </c>
      <c r="U13" s="59" t="e">
        <f>VLOOKUP(Exit!B:B,Dataset!B:S,21,)</f>
        <v>#REF!</v>
      </c>
      <c r="V13" s="1" t="s">
        <v>1583</v>
      </c>
      <c r="W13" s="1" t="s">
        <v>1580</v>
      </c>
    </row>
    <row r="14" spans="1:23" s="3" customFormat="1" x14ac:dyDescent="0.2">
      <c r="A14" s="1">
        <v>13</v>
      </c>
      <c r="B14" s="1" t="s">
        <v>383</v>
      </c>
      <c r="C14" s="1" t="s">
        <v>1586</v>
      </c>
      <c r="D14" s="1" t="s">
        <v>1564</v>
      </c>
      <c r="E14" s="1" t="s">
        <v>52</v>
      </c>
      <c r="F14" s="1" t="s">
        <v>387</v>
      </c>
      <c r="G14" s="1" t="s">
        <v>1565</v>
      </c>
      <c r="H14" s="1" t="s">
        <v>25</v>
      </c>
      <c r="I14" s="1" t="str">
        <f>VLOOKUP(B:B,Dataset!B:J,8,)</f>
        <v>Female</v>
      </c>
      <c r="J14" s="57"/>
      <c r="K14" s="57"/>
      <c r="L14" s="8">
        <v>41113</v>
      </c>
      <c r="M14" s="7">
        <v>44708</v>
      </c>
      <c r="N14" s="57"/>
      <c r="O14" s="57"/>
      <c r="P14" s="1" t="s">
        <v>29</v>
      </c>
      <c r="Q14" s="57"/>
      <c r="R14" s="1">
        <v>75</v>
      </c>
      <c r="S14" s="57"/>
      <c r="T14" s="4">
        <v>940889.12625600002</v>
      </c>
      <c r="U14" s="59" t="e">
        <f>VLOOKUP(Exit!B:B,Dataset!B:S,21,)</f>
        <v>#REF!</v>
      </c>
      <c r="V14" s="1" t="s">
        <v>1587</v>
      </c>
      <c r="W14" s="1" t="s">
        <v>1580</v>
      </c>
    </row>
    <row r="15" spans="1:23" s="3" customFormat="1" x14ac:dyDescent="0.2">
      <c r="A15" s="1">
        <v>14</v>
      </c>
      <c r="B15" s="1" t="s">
        <v>412</v>
      </c>
      <c r="C15" s="1" t="s">
        <v>1588</v>
      </c>
      <c r="D15" s="1" t="s">
        <v>1564</v>
      </c>
      <c r="E15" s="1" t="s">
        <v>78</v>
      </c>
      <c r="F15" s="1" t="s">
        <v>79</v>
      </c>
      <c r="G15" s="1" t="s">
        <v>1570</v>
      </c>
      <c r="H15" s="1" t="s">
        <v>63</v>
      </c>
      <c r="I15" s="1" t="str">
        <f>VLOOKUP(B:B,Dataset!B:J,8,)</f>
        <v>Male</v>
      </c>
      <c r="J15" s="57"/>
      <c r="K15" s="57"/>
      <c r="L15" s="8">
        <v>41334</v>
      </c>
      <c r="M15" s="7">
        <v>44662</v>
      </c>
      <c r="N15" s="57"/>
      <c r="O15" s="57"/>
      <c r="P15" s="1" t="s">
        <v>29</v>
      </c>
      <c r="Q15" s="57"/>
      <c r="R15" s="1">
        <v>64</v>
      </c>
      <c r="S15" s="57"/>
      <c r="T15" s="2">
        <v>900014.4</v>
      </c>
      <c r="U15" s="59" t="e">
        <f>VLOOKUP(Exit!B:B,Dataset!B:S,21,)</f>
        <v>#REF!</v>
      </c>
      <c r="V15" s="1" t="s">
        <v>1587</v>
      </c>
      <c r="W15" s="1" t="s">
        <v>1580</v>
      </c>
    </row>
    <row r="16" spans="1:23" s="3" customFormat="1" x14ac:dyDescent="0.2">
      <c r="A16" s="1">
        <v>15</v>
      </c>
      <c r="B16" s="1" t="s">
        <v>439</v>
      </c>
      <c r="C16" s="1" t="s">
        <v>1589</v>
      </c>
      <c r="D16" s="1" t="s">
        <v>34</v>
      </c>
      <c r="E16" s="1" t="s">
        <v>35</v>
      </c>
      <c r="F16" s="1" t="s">
        <v>24</v>
      </c>
      <c r="G16" s="1" t="s">
        <v>1575</v>
      </c>
      <c r="H16" s="1" t="s">
        <v>25</v>
      </c>
      <c r="I16" s="1" t="str">
        <f>VLOOKUP(B:B,Dataset!B:J,8,)</f>
        <v>Female</v>
      </c>
      <c r="J16" s="57"/>
      <c r="K16" s="57"/>
      <c r="L16" s="8">
        <v>40756</v>
      </c>
      <c r="M16" s="7">
        <v>44746</v>
      </c>
      <c r="N16" s="57"/>
      <c r="O16" s="57"/>
      <c r="P16" s="1" t="s">
        <v>29</v>
      </c>
      <c r="Q16" s="57"/>
      <c r="R16" s="1">
        <v>53</v>
      </c>
      <c r="S16" s="57"/>
      <c r="T16" s="2">
        <v>769361.93848320004</v>
      </c>
      <c r="U16" s="59" t="e">
        <f>VLOOKUP(Exit!B:B,Dataset!B:S,21,)</f>
        <v>#REF!</v>
      </c>
      <c r="V16" s="1" t="s">
        <v>1587</v>
      </c>
      <c r="W16" s="1" t="s">
        <v>1580</v>
      </c>
    </row>
    <row r="17" spans="1:23" s="3" customFormat="1" x14ac:dyDescent="0.2">
      <c r="A17" s="1">
        <v>16</v>
      </c>
      <c r="B17" s="1" t="s">
        <v>469</v>
      </c>
      <c r="C17" s="1" t="s">
        <v>1590</v>
      </c>
      <c r="D17" s="1" t="s">
        <v>34</v>
      </c>
      <c r="E17" s="1" t="s">
        <v>35</v>
      </c>
      <c r="F17" s="1" t="s">
        <v>24</v>
      </c>
      <c r="G17" s="1" t="s">
        <v>1575</v>
      </c>
      <c r="H17" s="1" t="s">
        <v>63</v>
      </c>
      <c r="I17" s="1" t="str">
        <f>VLOOKUP(B:B,Dataset!B:J,8,)</f>
        <v>Male</v>
      </c>
      <c r="J17" s="57"/>
      <c r="K17" s="57"/>
      <c r="L17" s="8">
        <v>36168</v>
      </c>
      <c r="M17" s="7">
        <v>44799</v>
      </c>
      <c r="N17" s="57"/>
      <c r="O17" s="57"/>
      <c r="P17" s="1" t="s">
        <v>29</v>
      </c>
      <c r="Q17" s="57"/>
      <c r="R17" s="1">
        <v>42</v>
      </c>
      <c r="S17" s="57"/>
      <c r="T17" s="2">
        <v>873039.96</v>
      </c>
      <c r="U17" s="59" t="e">
        <f>VLOOKUP(Exit!B:B,Dataset!B:S,21,)</f>
        <v>#REF!</v>
      </c>
      <c r="V17" s="1" t="s">
        <v>1587</v>
      </c>
      <c r="W17" s="1" t="s">
        <v>1580</v>
      </c>
    </row>
    <row r="18" spans="1:23" s="3" customFormat="1" x14ac:dyDescent="0.2">
      <c r="A18" s="1">
        <v>17</v>
      </c>
      <c r="B18" s="1" t="s">
        <v>501</v>
      </c>
      <c r="C18" s="1" t="s">
        <v>1591</v>
      </c>
      <c r="D18" s="1" t="s">
        <v>1564</v>
      </c>
      <c r="E18" s="1" t="s">
        <v>43</v>
      </c>
      <c r="F18" s="1" t="s">
        <v>505</v>
      </c>
      <c r="G18" s="1" t="s">
        <v>1565</v>
      </c>
      <c r="H18" s="1" t="s">
        <v>25</v>
      </c>
      <c r="I18" s="1" t="str">
        <f>VLOOKUP(B:B,Dataset!B:J,8,)</f>
        <v>Female</v>
      </c>
      <c r="J18" s="57"/>
      <c r="K18" s="57"/>
      <c r="L18" s="8">
        <v>37626</v>
      </c>
      <c r="M18" s="7">
        <v>44785</v>
      </c>
      <c r="N18" s="57"/>
      <c r="O18" s="57"/>
      <c r="P18" s="1" t="s">
        <v>29</v>
      </c>
      <c r="Q18" s="57"/>
      <c r="R18" s="1">
        <v>31</v>
      </c>
      <c r="S18" s="57"/>
      <c r="T18" s="2">
        <v>2146894.56</v>
      </c>
      <c r="U18" s="59" t="e">
        <f>VLOOKUP(Exit!B:B,Dataset!B:S,21,)</f>
        <v>#REF!</v>
      </c>
      <c r="V18" s="1" t="s">
        <v>1587</v>
      </c>
      <c r="W18" s="1" t="s">
        <v>1580</v>
      </c>
    </row>
    <row r="19" spans="1:23" s="3" customFormat="1" x14ac:dyDescent="0.2">
      <c r="A19" s="1">
        <v>18</v>
      </c>
      <c r="B19" s="1" t="s">
        <v>535</v>
      </c>
      <c r="C19" s="1" t="s">
        <v>1592</v>
      </c>
      <c r="D19" s="1" t="s">
        <v>42</v>
      </c>
      <c r="E19" s="1" t="s">
        <v>78</v>
      </c>
      <c r="F19" s="1" t="s">
        <v>539</v>
      </c>
      <c r="G19" s="1" t="s">
        <v>1570</v>
      </c>
      <c r="H19" s="1" t="s">
        <v>63</v>
      </c>
      <c r="I19" s="1" t="str">
        <f>VLOOKUP(B:B,Dataset!B:J,8,)</f>
        <v>Male</v>
      </c>
      <c r="J19" s="57"/>
      <c r="K19" s="57"/>
      <c r="L19" s="8">
        <v>39664</v>
      </c>
      <c r="M19" s="7">
        <v>44829</v>
      </c>
      <c r="N19" s="57"/>
      <c r="O19" s="57"/>
      <c r="P19" s="1" t="s">
        <v>561</v>
      </c>
      <c r="Q19" s="57"/>
      <c r="R19" s="1">
        <v>90</v>
      </c>
      <c r="S19" s="57"/>
      <c r="T19" s="2">
        <v>2112417.84</v>
      </c>
      <c r="U19" s="59" t="e">
        <f>VLOOKUP(Exit!B:B,Dataset!B:S,21,)</f>
        <v>#REF!</v>
      </c>
      <c r="V19" s="1" t="s">
        <v>1593</v>
      </c>
      <c r="W19" s="1" t="s">
        <v>1580</v>
      </c>
    </row>
    <row r="20" spans="1:23" s="3" customFormat="1" x14ac:dyDescent="0.2">
      <c r="A20" s="1">
        <v>19</v>
      </c>
      <c r="B20" s="1" t="s">
        <v>569</v>
      </c>
      <c r="C20" s="1" t="s">
        <v>1594</v>
      </c>
      <c r="D20" s="1" t="s">
        <v>1564</v>
      </c>
      <c r="E20" s="1" t="s">
        <v>572</v>
      </c>
      <c r="F20" s="1" t="s">
        <v>573</v>
      </c>
      <c r="G20" s="1" t="s">
        <v>1570</v>
      </c>
      <c r="H20" s="1" t="s">
        <v>25</v>
      </c>
      <c r="I20" s="1" t="str">
        <f>VLOOKUP(B:B,Dataset!B:J,8,)</f>
        <v>Female</v>
      </c>
      <c r="J20" s="57"/>
      <c r="K20" s="57"/>
      <c r="L20" s="8">
        <v>40574</v>
      </c>
      <c r="M20" s="7">
        <v>44804</v>
      </c>
      <c r="N20" s="57"/>
      <c r="O20" s="57"/>
      <c r="P20" s="1" t="s">
        <v>561</v>
      </c>
      <c r="Q20" s="57"/>
      <c r="R20" s="1">
        <v>95</v>
      </c>
      <c r="S20" s="57"/>
      <c r="T20" s="2">
        <v>3521809.2</v>
      </c>
      <c r="U20" s="59" t="e">
        <f>VLOOKUP(Exit!B:B,Dataset!B:S,21,)</f>
        <v>#REF!</v>
      </c>
      <c r="V20" s="1" t="s">
        <v>1593</v>
      </c>
      <c r="W20" s="1" t="s">
        <v>1580</v>
      </c>
    </row>
    <row r="21" spans="1:23" s="3" customFormat="1" x14ac:dyDescent="0.2">
      <c r="A21" s="1">
        <v>20</v>
      </c>
      <c r="B21" s="1" t="s">
        <v>600</v>
      </c>
      <c r="C21" s="1" t="s">
        <v>1595</v>
      </c>
      <c r="D21" s="1" t="s">
        <v>1564</v>
      </c>
      <c r="E21" s="1" t="s">
        <v>52</v>
      </c>
      <c r="F21" s="1" t="s">
        <v>604</v>
      </c>
      <c r="G21" s="1" t="s">
        <v>1565</v>
      </c>
      <c r="H21" s="1" t="s">
        <v>63</v>
      </c>
      <c r="I21" s="1" t="str">
        <f>VLOOKUP(B:B,Dataset!B:J,8,)</f>
        <v>Male</v>
      </c>
      <c r="J21" s="57"/>
      <c r="K21" s="57"/>
      <c r="L21" s="8">
        <v>41652</v>
      </c>
      <c r="M21" s="7">
        <v>44820</v>
      </c>
      <c r="N21" s="57"/>
      <c r="O21" s="57"/>
      <c r="P21" s="1" t="s">
        <v>561</v>
      </c>
      <c r="Q21" s="57"/>
      <c r="R21" s="1">
        <v>84</v>
      </c>
      <c r="S21" s="57"/>
      <c r="T21" s="2">
        <v>2042661.12</v>
      </c>
      <c r="U21" s="59" t="e">
        <f>VLOOKUP(Exit!B:B,Dataset!B:S,21,)</f>
        <v>#REF!</v>
      </c>
      <c r="V21" s="1" t="s">
        <v>1593</v>
      </c>
      <c r="W21" s="1" t="s">
        <v>1580</v>
      </c>
    </row>
    <row r="22" spans="1:23" s="3" customFormat="1" x14ac:dyDescent="0.2">
      <c r="A22" s="1">
        <v>21</v>
      </c>
      <c r="B22" s="1" t="s">
        <v>633</v>
      </c>
      <c r="C22" s="1" t="s">
        <v>1596</v>
      </c>
      <c r="D22" s="1" t="s">
        <v>1564</v>
      </c>
      <c r="E22" s="1" t="s">
        <v>322</v>
      </c>
      <c r="F22" s="1" t="s">
        <v>637</v>
      </c>
      <c r="G22" s="1" t="s">
        <v>1575</v>
      </c>
      <c r="H22" s="1" t="s">
        <v>25</v>
      </c>
      <c r="I22" s="1" t="str">
        <f>VLOOKUP(B:B,Dataset!B:J,8,)</f>
        <v>Female</v>
      </c>
      <c r="J22" s="57"/>
      <c r="K22" s="57"/>
      <c r="L22" s="8">
        <v>39114</v>
      </c>
      <c r="M22" s="7">
        <v>44785</v>
      </c>
      <c r="N22" s="57"/>
      <c r="O22" s="57"/>
      <c r="P22" s="1" t="s">
        <v>561</v>
      </c>
      <c r="Q22" s="57"/>
      <c r="R22" s="1">
        <v>73</v>
      </c>
      <c r="S22" s="57"/>
      <c r="T22" s="2">
        <v>4420000</v>
      </c>
      <c r="U22" s="59" t="e">
        <f>VLOOKUP(Exit!B:B,Dataset!B:S,21,)</f>
        <v>#REF!</v>
      </c>
      <c r="V22" s="1" t="s">
        <v>1593</v>
      </c>
      <c r="W22" s="1" t="s">
        <v>1580</v>
      </c>
    </row>
    <row r="23" spans="1:23" s="3" customFormat="1" x14ac:dyDescent="0.2">
      <c r="A23" s="1">
        <v>22</v>
      </c>
      <c r="B23" s="1" t="s">
        <v>667</v>
      </c>
      <c r="C23" s="1" t="s">
        <v>1597</v>
      </c>
      <c r="D23" s="1" t="s">
        <v>1564</v>
      </c>
      <c r="E23" s="1" t="s">
        <v>1598</v>
      </c>
      <c r="F23" s="1" t="s">
        <v>672</v>
      </c>
      <c r="G23" s="1" t="s">
        <v>1570</v>
      </c>
      <c r="H23" s="1" t="s">
        <v>63</v>
      </c>
      <c r="I23" s="1" t="str">
        <f>VLOOKUP(B:B,Dataset!B:J,8,)</f>
        <v>Male</v>
      </c>
      <c r="J23" s="57"/>
      <c r="K23" s="57"/>
      <c r="L23" s="8">
        <v>41155</v>
      </c>
      <c r="M23" s="7">
        <v>44742</v>
      </c>
      <c r="N23" s="57"/>
      <c r="O23" s="57"/>
      <c r="P23" s="1" t="s">
        <v>561</v>
      </c>
      <c r="Q23" s="57"/>
      <c r="R23" s="1">
        <v>62</v>
      </c>
      <c r="S23" s="57"/>
      <c r="T23" s="2">
        <v>2035920</v>
      </c>
      <c r="U23" s="59" t="e">
        <f>VLOOKUP(Exit!B:B,Dataset!B:S,21,)</f>
        <v>#REF!</v>
      </c>
      <c r="V23" s="1" t="s">
        <v>1593</v>
      </c>
      <c r="W23" s="1" t="s">
        <v>1580</v>
      </c>
    </row>
    <row r="24" spans="1:23" s="3" customFormat="1" x14ac:dyDescent="0.2">
      <c r="A24" s="1">
        <v>23</v>
      </c>
      <c r="B24" s="1" t="s">
        <v>698</v>
      </c>
      <c r="C24" s="1" t="s">
        <v>1599</v>
      </c>
      <c r="D24" s="1" t="s">
        <v>1564</v>
      </c>
      <c r="E24" s="1" t="s">
        <v>78</v>
      </c>
      <c r="F24" s="1" t="s">
        <v>131</v>
      </c>
      <c r="G24" s="1" t="s">
        <v>1570</v>
      </c>
      <c r="H24" s="1" t="s">
        <v>25</v>
      </c>
      <c r="I24" s="1" t="str">
        <f>VLOOKUP(B:B,Dataset!B:J,8,)</f>
        <v>Female</v>
      </c>
      <c r="J24" s="57"/>
      <c r="K24" s="57"/>
      <c r="L24" s="8">
        <v>42170</v>
      </c>
      <c r="M24" s="7">
        <v>44742</v>
      </c>
      <c r="N24" s="57"/>
      <c r="O24" s="57"/>
      <c r="P24" s="1" t="s">
        <v>561</v>
      </c>
      <c r="Q24" s="57"/>
      <c r="R24" s="1">
        <v>51</v>
      </c>
      <c r="S24" s="57"/>
      <c r="T24" s="2">
        <v>2292244.56</v>
      </c>
      <c r="U24" s="59" t="e">
        <f>VLOOKUP(Exit!B:B,Dataset!B:S,21,)</f>
        <v>#REF!</v>
      </c>
      <c r="V24" s="1" t="s">
        <v>1600</v>
      </c>
      <c r="W24" s="1" t="s">
        <v>1567</v>
      </c>
    </row>
    <row r="25" spans="1:23" s="3" customFormat="1" x14ac:dyDescent="0.2">
      <c r="A25" s="1">
        <v>24</v>
      </c>
      <c r="B25" s="1" t="s">
        <v>725</v>
      </c>
      <c r="C25" s="1" t="s">
        <v>1601</v>
      </c>
      <c r="D25" s="1" t="s">
        <v>1564</v>
      </c>
      <c r="E25" s="1" t="s">
        <v>78</v>
      </c>
      <c r="F25" s="1" t="s">
        <v>539</v>
      </c>
      <c r="G25" s="1" t="s">
        <v>1570</v>
      </c>
      <c r="H25" s="1" t="s">
        <v>63</v>
      </c>
      <c r="I25" s="1" t="str">
        <f>VLOOKUP(B:B,Dataset!B:J,8,)</f>
        <v>Male</v>
      </c>
      <c r="J25" s="57"/>
      <c r="K25" s="57"/>
      <c r="L25" s="8">
        <v>42191</v>
      </c>
      <c r="M25" s="7">
        <v>44673</v>
      </c>
      <c r="N25" s="57"/>
      <c r="O25" s="57"/>
      <c r="P25" s="1" t="s">
        <v>561</v>
      </c>
      <c r="Q25" s="57"/>
      <c r="R25" s="1">
        <v>40</v>
      </c>
      <c r="S25" s="57"/>
      <c r="T25" s="2">
        <v>4327318.92</v>
      </c>
      <c r="U25" s="59" t="e">
        <f>VLOOKUP(Exit!B:B,Dataset!B:S,21,)</f>
        <v>#REF!</v>
      </c>
      <c r="V25" s="1" t="s">
        <v>1573</v>
      </c>
      <c r="W25" s="1" t="s">
        <v>1567</v>
      </c>
    </row>
    <row r="26" spans="1:23" s="3" customFormat="1" x14ac:dyDescent="0.2">
      <c r="A26" s="1">
        <v>25</v>
      </c>
      <c r="B26" s="1" t="s">
        <v>752</v>
      </c>
      <c r="C26" s="1" t="s">
        <v>1602</v>
      </c>
      <c r="D26" s="1" t="s">
        <v>1582</v>
      </c>
      <c r="E26" s="1" t="s">
        <v>1603</v>
      </c>
      <c r="F26" s="1" t="s">
        <v>131</v>
      </c>
      <c r="G26" s="1" t="s">
        <v>1570</v>
      </c>
      <c r="H26" s="1" t="s">
        <v>25</v>
      </c>
      <c r="I26" s="1" t="str">
        <f>VLOOKUP(B:B,Dataset!B:J,8,)</f>
        <v>Female</v>
      </c>
      <c r="J26" s="57"/>
      <c r="K26" s="57"/>
      <c r="L26" s="8">
        <v>38789</v>
      </c>
      <c r="M26" s="7">
        <v>44778</v>
      </c>
      <c r="N26" s="57"/>
      <c r="O26" s="57"/>
      <c r="P26" s="1" t="s">
        <v>561</v>
      </c>
      <c r="Q26" s="57"/>
      <c r="R26" s="1">
        <v>45</v>
      </c>
      <c r="S26" s="57"/>
      <c r="T26" s="2">
        <v>3720168.96</v>
      </c>
      <c r="U26" s="59" t="e">
        <f>VLOOKUP(Exit!B:B,Dataset!B:S,21,)</f>
        <v>#REF!</v>
      </c>
      <c r="V26" s="1" t="s">
        <v>1573</v>
      </c>
      <c r="W26" s="1" t="s">
        <v>1567</v>
      </c>
    </row>
    <row r="27" spans="1:23" s="3" customFormat="1" x14ac:dyDescent="0.2">
      <c r="A27" s="1">
        <v>26</v>
      </c>
      <c r="B27" s="1" t="s">
        <v>780</v>
      </c>
      <c r="C27" s="1" t="s">
        <v>1604</v>
      </c>
      <c r="D27" s="1" t="s">
        <v>1564</v>
      </c>
      <c r="E27" s="1" t="s">
        <v>78</v>
      </c>
      <c r="F27" s="1" t="s">
        <v>492</v>
      </c>
      <c r="G27" s="1" t="s">
        <v>1570</v>
      </c>
      <c r="H27" s="1" t="s">
        <v>63</v>
      </c>
      <c r="I27" s="1" t="str">
        <f>VLOOKUP(B:B,Dataset!B:J,8,)</f>
        <v>Male</v>
      </c>
      <c r="J27" s="57"/>
      <c r="K27" s="57"/>
      <c r="L27" s="8">
        <v>41316</v>
      </c>
      <c r="M27" s="7">
        <v>44833</v>
      </c>
      <c r="N27" s="57"/>
      <c r="O27" s="57"/>
      <c r="P27" s="1" t="s">
        <v>818</v>
      </c>
      <c r="Q27" s="57"/>
      <c r="R27" s="1">
        <v>34</v>
      </c>
      <c r="S27" s="57"/>
      <c r="T27" s="2">
        <v>3170730.9359095143</v>
      </c>
      <c r="U27" s="59" t="e">
        <f>VLOOKUP(Exit!B:B,Dataset!B:S,21,)</f>
        <v>#REF!</v>
      </c>
      <c r="V27" s="1" t="s">
        <v>1573</v>
      </c>
      <c r="W27" s="1" t="s">
        <v>1567</v>
      </c>
    </row>
    <row r="28" spans="1:23" s="3" customFormat="1" x14ac:dyDescent="0.2">
      <c r="A28" s="1">
        <v>27</v>
      </c>
      <c r="B28" s="1" t="s">
        <v>812</v>
      </c>
      <c r="C28" s="1" t="s">
        <v>1605</v>
      </c>
      <c r="D28" s="1" t="s">
        <v>1582</v>
      </c>
      <c r="E28" s="1" t="s">
        <v>52</v>
      </c>
      <c r="F28" s="1" t="s">
        <v>815</v>
      </c>
      <c r="G28" s="1" t="s">
        <v>1565</v>
      </c>
      <c r="H28" s="1" t="s">
        <v>25</v>
      </c>
      <c r="I28" s="1" t="str">
        <f>VLOOKUP(B:B,Dataset!B:J,8,)</f>
        <v>Female</v>
      </c>
      <c r="J28" s="57"/>
      <c r="K28" s="57"/>
      <c r="L28" s="8">
        <v>40651</v>
      </c>
      <c r="M28" s="7">
        <v>44804</v>
      </c>
      <c r="N28" s="57"/>
      <c r="O28" s="57"/>
      <c r="P28" s="1" t="s">
        <v>818</v>
      </c>
      <c r="Q28" s="57"/>
      <c r="R28" s="1">
        <v>93</v>
      </c>
      <c r="S28" s="57"/>
      <c r="T28" s="2">
        <v>4440816.96</v>
      </c>
      <c r="U28" s="59" t="e">
        <f>VLOOKUP(Exit!B:B,Dataset!B:S,21,)</f>
        <v>#REF!</v>
      </c>
      <c r="V28" s="1" t="s">
        <v>1573</v>
      </c>
      <c r="W28" s="1" t="s">
        <v>1567</v>
      </c>
    </row>
    <row r="29" spans="1:23" s="3" customFormat="1" x14ac:dyDescent="0.2">
      <c r="A29" s="1">
        <v>28</v>
      </c>
      <c r="B29" s="1" t="s">
        <v>844</v>
      </c>
      <c r="C29" s="1" t="s">
        <v>1606</v>
      </c>
      <c r="D29" s="1" t="s">
        <v>1564</v>
      </c>
      <c r="E29" s="1" t="s">
        <v>52</v>
      </c>
      <c r="F29" s="1" t="s">
        <v>847</v>
      </c>
      <c r="G29" s="1" t="s">
        <v>1565</v>
      </c>
      <c r="H29" s="1" t="s">
        <v>63</v>
      </c>
      <c r="I29" s="1" t="str">
        <f>VLOOKUP(B:B,Dataset!B:J,8,)</f>
        <v>Male</v>
      </c>
      <c r="J29" s="57"/>
      <c r="K29" s="57"/>
      <c r="L29" s="8">
        <v>41184</v>
      </c>
      <c r="M29" s="7">
        <v>44652</v>
      </c>
      <c r="N29" s="57"/>
      <c r="O29" s="57"/>
      <c r="P29" s="1" t="s">
        <v>885</v>
      </c>
      <c r="Q29" s="57"/>
      <c r="R29" s="1">
        <v>82</v>
      </c>
      <c r="S29" s="57"/>
      <c r="T29" s="2">
        <v>11900460</v>
      </c>
      <c r="U29" s="59" t="e">
        <f>VLOOKUP(Exit!B:B,Dataset!B:S,21,)</f>
        <v>#REF!</v>
      </c>
      <c r="V29" s="1" t="s">
        <v>1573</v>
      </c>
      <c r="W29" s="1" t="s">
        <v>1567</v>
      </c>
    </row>
    <row r="30" spans="1:23" s="3" customFormat="1" x14ac:dyDescent="0.2">
      <c r="A30" s="1">
        <v>29</v>
      </c>
      <c r="B30" s="1" t="s">
        <v>878</v>
      </c>
      <c r="C30" s="1" t="s">
        <v>1607</v>
      </c>
      <c r="D30" s="1" t="s">
        <v>1564</v>
      </c>
      <c r="E30" s="1" t="s">
        <v>52</v>
      </c>
      <c r="F30" s="1" t="s">
        <v>882</v>
      </c>
      <c r="G30" s="1" t="s">
        <v>1565</v>
      </c>
      <c r="H30" s="1" t="s">
        <v>25</v>
      </c>
      <c r="I30" s="1" t="str">
        <f>VLOOKUP(B:B,Dataset!B:J,8,)</f>
        <v>Female</v>
      </c>
      <c r="J30" s="57"/>
      <c r="K30" s="57"/>
      <c r="L30" s="8">
        <v>39615</v>
      </c>
      <c r="M30" s="7">
        <v>44742</v>
      </c>
      <c r="N30" s="57"/>
      <c r="O30" s="57"/>
      <c r="P30" s="1" t="s">
        <v>885</v>
      </c>
      <c r="Q30" s="57"/>
      <c r="R30" s="1">
        <v>71</v>
      </c>
      <c r="S30" s="57"/>
      <c r="T30" s="2">
        <v>811248.94871999999</v>
      </c>
      <c r="U30" s="59" t="e">
        <f>VLOOKUP(Exit!B:B,Dataset!B:S,21,)</f>
        <v>#REF!</v>
      </c>
      <c r="V30" s="1" t="s">
        <v>1573</v>
      </c>
      <c r="W30" s="1" t="s">
        <v>1567</v>
      </c>
    </row>
    <row r="31" spans="1:23" s="3" customFormat="1" x14ac:dyDescent="0.2">
      <c r="A31" s="1">
        <v>30</v>
      </c>
      <c r="B31" s="1" t="s">
        <v>911</v>
      </c>
      <c r="C31" s="1" t="s">
        <v>1608</v>
      </c>
      <c r="D31" s="1" t="s">
        <v>1564</v>
      </c>
      <c r="E31" s="1" t="s">
        <v>52</v>
      </c>
      <c r="F31" s="1" t="s">
        <v>914</v>
      </c>
      <c r="G31" s="1" t="s">
        <v>1565</v>
      </c>
      <c r="H31" s="1" t="s">
        <v>63</v>
      </c>
      <c r="I31" s="1" t="str">
        <f>VLOOKUP(B:B,Dataset!B:J,8,)</f>
        <v>Male</v>
      </c>
      <c r="J31" s="57"/>
      <c r="K31" s="57"/>
      <c r="L31" s="8">
        <v>42310</v>
      </c>
      <c r="M31" s="7">
        <v>44792</v>
      </c>
      <c r="N31" s="57"/>
      <c r="O31" s="57"/>
      <c r="P31" s="1" t="s">
        <v>885</v>
      </c>
      <c r="Q31" s="57"/>
      <c r="R31" s="1">
        <v>60</v>
      </c>
      <c r="S31" s="57"/>
      <c r="T31" s="2">
        <v>758486.14919999999</v>
      </c>
      <c r="U31" s="59" t="e">
        <f>VLOOKUP(Exit!B:B,Dataset!B:S,21,)</f>
        <v>#REF!</v>
      </c>
      <c r="V31" s="1" t="s">
        <v>1573</v>
      </c>
      <c r="W31" s="1" t="s">
        <v>1567</v>
      </c>
    </row>
    <row r="32" spans="1:23" s="3" customFormat="1" x14ac:dyDescent="0.2">
      <c r="A32" s="1">
        <v>31</v>
      </c>
      <c r="B32" s="1" t="s">
        <v>938</v>
      </c>
      <c r="C32" s="1" t="s">
        <v>1609</v>
      </c>
      <c r="D32" s="1" t="s">
        <v>1564</v>
      </c>
      <c r="E32" s="1" t="s">
        <v>52</v>
      </c>
      <c r="F32" s="1" t="s">
        <v>273</v>
      </c>
      <c r="G32" s="1" t="s">
        <v>1575</v>
      </c>
      <c r="H32" s="1" t="s">
        <v>25</v>
      </c>
      <c r="I32" s="1" t="str">
        <f>VLOOKUP(B:B,Dataset!B:J,8,)</f>
        <v>Female</v>
      </c>
      <c r="J32" s="57"/>
      <c r="K32" s="57"/>
      <c r="L32" s="8">
        <v>42240</v>
      </c>
      <c r="M32" s="7">
        <v>44809</v>
      </c>
      <c r="N32" s="57"/>
      <c r="O32" s="57"/>
      <c r="P32" s="1" t="s">
        <v>885</v>
      </c>
      <c r="Q32" s="57"/>
      <c r="R32" s="1">
        <v>65</v>
      </c>
      <c r="S32" s="57"/>
      <c r="T32" s="2">
        <v>599397.67079999996</v>
      </c>
      <c r="U32" s="59" t="e">
        <f>VLOOKUP(Exit!B:B,Dataset!B:S,21,)</f>
        <v>#REF!</v>
      </c>
      <c r="V32" s="1" t="s">
        <v>1573</v>
      </c>
      <c r="W32" s="1" t="s">
        <v>1567</v>
      </c>
    </row>
    <row r="33" spans="1:23" s="3" customFormat="1" x14ac:dyDescent="0.2">
      <c r="A33" s="1">
        <v>32</v>
      </c>
      <c r="B33" s="1" t="s">
        <v>967</v>
      </c>
      <c r="C33" s="1" t="s">
        <v>1610</v>
      </c>
      <c r="D33" s="1" t="s">
        <v>1564</v>
      </c>
      <c r="E33" s="1" t="s">
        <v>221</v>
      </c>
      <c r="F33" s="1" t="s">
        <v>971</v>
      </c>
      <c r="G33" s="1" t="s">
        <v>1565</v>
      </c>
      <c r="H33" s="1" t="s">
        <v>63</v>
      </c>
      <c r="I33" s="1" t="str">
        <f>VLOOKUP(B:B,Dataset!B:J,8,)</f>
        <v>Male</v>
      </c>
      <c r="J33" s="57"/>
      <c r="K33" s="57"/>
      <c r="L33" s="8">
        <v>42828</v>
      </c>
      <c r="M33" s="7">
        <v>44720</v>
      </c>
      <c r="N33" s="57"/>
      <c r="O33" s="57"/>
      <c r="P33" s="1" t="s">
        <v>885</v>
      </c>
      <c r="Q33" s="57"/>
      <c r="R33" s="1">
        <v>54</v>
      </c>
      <c r="S33" s="57"/>
      <c r="T33" s="2">
        <v>595934.47919999994</v>
      </c>
      <c r="U33" s="59" t="e">
        <f>VLOOKUP(Exit!B:B,Dataset!B:S,21,)</f>
        <v>#REF!</v>
      </c>
      <c r="V33" s="1" t="s">
        <v>1573</v>
      </c>
      <c r="W33" s="1" t="s">
        <v>1567</v>
      </c>
    </row>
    <row r="34" spans="1:23" s="3" customFormat="1" x14ac:dyDescent="0.2">
      <c r="A34" s="1">
        <v>33</v>
      </c>
      <c r="B34" s="1" t="s">
        <v>996</v>
      </c>
      <c r="C34" s="1" t="s">
        <v>1611</v>
      </c>
      <c r="D34" s="1" t="s">
        <v>1564</v>
      </c>
      <c r="E34" s="1" t="s">
        <v>52</v>
      </c>
      <c r="F34" s="1" t="s">
        <v>1000</v>
      </c>
      <c r="G34" s="1" t="s">
        <v>1565</v>
      </c>
      <c r="H34" s="1" t="s">
        <v>25</v>
      </c>
      <c r="I34" s="1" t="str">
        <f>VLOOKUP(B:B,Dataset!B:J,8,)</f>
        <v>Female</v>
      </c>
      <c r="J34" s="57"/>
      <c r="K34" s="57"/>
      <c r="L34" s="8">
        <v>43070</v>
      </c>
      <c r="M34" s="7">
        <v>44819</v>
      </c>
      <c r="N34" s="57"/>
      <c r="O34" s="57"/>
      <c r="P34" s="1" t="s">
        <v>885</v>
      </c>
      <c r="Q34" s="57"/>
      <c r="R34" s="1">
        <v>43</v>
      </c>
      <c r="S34" s="57"/>
      <c r="T34" s="2">
        <v>581169.50875200005</v>
      </c>
      <c r="U34" s="59" t="e">
        <f>VLOOKUP(Exit!B:B,Dataset!B:S,21,)</f>
        <v>#REF!</v>
      </c>
      <c r="V34" s="1" t="s">
        <v>1573</v>
      </c>
      <c r="W34" s="1" t="s">
        <v>1567</v>
      </c>
    </row>
    <row r="35" spans="1:23" s="3" customFormat="1" x14ac:dyDescent="0.2">
      <c r="A35" s="1">
        <v>34</v>
      </c>
      <c r="B35" s="1" t="s">
        <v>1026</v>
      </c>
      <c r="C35" s="1" t="s">
        <v>1612</v>
      </c>
      <c r="D35" s="1" t="s">
        <v>1564</v>
      </c>
      <c r="E35" s="1" t="s">
        <v>78</v>
      </c>
      <c r="F35" s="1" t="s">
        <v>86</v>
      </c>
      <c r="G35" s="1" t="s">
        <v>1565</v>
      </c>
      <c r="H35" s="1" t="s">
        <v>63</v>
      </c>
      <c r="I35" s="1" t="str">
        <f>VLOOKUP(B:B,Dataset!B:J,8,)</f>
        <v>Male</v>
      </c>
      <c r="J35" s="58"/>
      <c r="K35" s="58"/>
      <c r="L35" s="8">
        <v>43185</v>
      </c>
      <c r="M35" s="7">
        <v>44705</v>
      </c>
      <c r="N35" s="58"/>
      <c r="O35" s="58"/>
      <c r="P35" s="1" t="s">
        <v>885</v>
      </c>
      <c r="Q35" s="58"/>
      <c r="R35" s="1">
        <v>32</v>
      </c>
      <c r="S35" s="58"/>
      <c r="T35" s="2">
        <v>582816.37977599993</v>
      </c>
      <c r="U35" s="59" t="e">
        <f>VLOOKUP(Exit!B:B,Dataset!B:S,21,)</f>
        <v>#REF!</v>
      </c>
      <c r="V35" s="1" t="s">
        <v>1573</v>
      </c>
      <c r="W35" s="1" t="s">
        <v>1567</v>
      </c>
    </row>
    <row r="36" spans="1:23" s="3" customFormat="1" x14ac:dyDescent="0.2">
      <c r="A36" s="1">
        <v>35</v>
      </c>
      <c r="B36" s="1" t="s">
        <v>1050</v>
      </c>
      <c r="C36" s="1" t="s">
        <v>1613</v>
      </c>
      <c r="D36" s="1" t="s">
        <v>1564</v>
      </c>
      <c r="E36" s="1" t="s">
        <v>78</v>
      </c>
      <c r="F36" s="1" t="s">
        <v>86</v>
      </c>
      <c r="G36" s="1" t="s">
        <v>1565</v>
      </c>
      <c r="H36" s="1" t="s">
        <v>25</v>
      </c>
      <c r="I36" s="1" t="str">
        <f>VLOOKUP(B:B,Dataset!B:J,8,)</f>
        <v>Female</v>
      </c>
      <c r="J36" s="58"/>
      <c r="K36" s="58"/>
      <c r="L36" s="8">
        <v>43193</v>
      </c>
      <c r="M36" s="7">
        <v>44677</v>
      </c>
      <c r="N36" s="58"/>
      <c r="O36" s="58"/>
      <c r="P36" s="1" t="s">
        <v>885</v>
      </c>
      <c r="Q36" s="58"/>
      <c r="R36" s="1">
        <v>91</v>
      </c>
      <c r="S36" s="58"/>
      <c r="T36" s="2">
        <v>504272.2536</v>
      </c>
      <c r="U36" s="59" t="e">
        <f>VLOOKUP(Exit!B:B,Dataset!B:S,21,)</f>
        <v>#REF!</v>
      </c>
      <c r="V36" s="1" t="s">
        <v>1573</v>
      </c>
      <c r="W36" s="1" t="s">
        <v>1567</v>
      </c>
    </row>
    <row r="37" spans="1:23" s="3" customFormat="1" x14ac:dyDescent="0.2">
      <c r="A37" s="1">
        <v>36</v>
      </c>
      <c r="B37" s="1" t="s">
        <v>1075</v>
      </c>
      <c r="C37" s="1" t="s">
        <v>1614</v>
      </c>
      <c r="D37" s="1" t="s">
        <v>1564</v>
      </c>
      <c r="E37" s="1" t="s">
        <v>52</v>
      </c>
      <c r="F37" s="1" t="s">
        <v>1000</v>
      </c>
      <c r="G37" s="1" t="s">
        <v>1565</v>
      </c>
      <c r="H37" s="1" t="s">
        <v>63</v>
      </c>
      <c r="I37" s="1" t="str">
        <f>VLOOKUP(B:B,Dataset!B:J,8,)</f>
        <v>Male</v>
      </c>
      <c r="J37" s="57"/>
      <c r="K37" s="57"/>
      <c r="L37" s="8">
        <v>43222</v>
      </c>
      <c r="M37" s="7">
        <v>44736</v>
      </c>
      <c r="N37" s="57"/>
      <c r="O37" s="57"/>
      <c r="P37" s="1" t="s">
        <v>29</v>
      </c>
      <c r="Q37" s="57"/>
      <c r="R37" s="1">
        <v>80</v>
      </c>
      <c r="S37" s="57"/>
      <c r="T37" s="2">
        <v>414064.31999999995</v>
      </c>
      <c r="U37" s="59" t="e">
        <f>VLOOKUP(Exit!B:B,Dataset!B:S,21,)</f>
        <v>#REF!</v>
      </c>
      <c r="V37" s="1" t="s">
        <v>1615</v>
      </c>
      <c r="W37" s="1" t="s">
        <v>1567</v>
      </c>
    </row>
    <row r="38" spans="1:23" s="3" customFormat="1" x14ac:dyDescent="0.2">
      <c r="A38" s="1">
        <v>37</v>
      </c>
      <c r="B38" s="1" t="s">
        <v>1096</v>
      </c>
      <c r="C38" s="1" t="s">
        <v>1616</v>
      </c>
      <c r="D38" s="1" t="s">
        <v>1582</v>
      </c>
      <c r="E38" s="1" t="s">
        <v>1603</v>
      </c>
      <c r="F38" s="1" t="s">
        <v>1100</v>
      </c>
      <c r="G38" s="1" t="s">
        <v>1565</v>
      </c>
      <c r="H38" s="1" t="s">
        <v>63</v>
      </c>
      <c r="I38" s="1" t="str">
        <f>VLOOKUP(B:B,Dataset!B:J,8,)</f>
        <v>Male</v>
      </c>
      <c r="J38" s="57"/>
      <c r="K38" s="57"/>
      <c r="L38" s="8">
        <v>43423</v>
      </c>
      <c r="M38" s="7">
        <v>44813</v>
      </c>
      <c r="N38" s="57"/>
      <c r="O38" s="57"/>
      <c r="P38" s="1" t="s">
        <v>885</v>
      </c>
      <c r="Q38" s="57"/>
      <c r="R38" s="1">
        <v>85</v>
      </c>
      <c r="S38" s="57"/>
      <c r="T38" s="2">
        <v>590946.84</v>
      </c>
      <c r="U38" s="59" t="e">
        <f>VLOOKUP(Exit!B:B,Dataset!B:S,21,)</f>
        <v>#REF!</v>
      </c>
      <c r="V38" s="1" t="s">
        <v>1615</v>
      </c>
      <c r="W38" s="1" t="s">
        <v>1567</v>
      </c>
    </row>
    <row r="39" spans="1:23" s="3" customFormat="1" x14ac:dyDescent="0.2">
      <c r="A39" s="1">
        <v>38</v>
      </c>
      <c r="B39" s="1" t="s">
        <v>1129</v>
      </c>
      <c r="C39" s="1" t="s">
        <v>1617</v>
      </c>
      <c r="D39" s="1" t="s">
        <v>1564</v>
      </c>
      <c r="E39" s="1" t="s">
        <v>78</v>
      </c>
      <c r="F39" s="1" t="s">
        <v>79</v>
      </c>
      <c r="G39" s="1" t="s">
        <v>1570</v>
      </c>
      <c r="H39" s="1" t="s">
        <v>63</v>
      </c>
      <c r="I39" s="1" t="str">
        <f>VLOOKUP(B:B,Dataset!B:J,8,)</f>
        <v>Male</v>
      </c>
      <c r="J39" s="57"/>
      <c r="K39" s="57"/>
      <c r="L39" s="8">
        <v>43612</v>
      </c>
      <c r="M39" s="7">
        <v>44799</v>
      </c>
      <c r="N39" s="57"/>
      <c r="O39" s="57"/>
      <c r="P39" s="1" t="s">
        <v>561</v>
      </c>
      <c r="Q39" s="57"/>
      <c r="R39" s="1">
        <v>74</v>
      </c>
      <c r="S39" s="57"/>
      <c r="T39" s="2">
        <v>672218.97595199989</v>
      </c>
      <c r="U39" s="59" t="e">
        <f>VLOOKUP(Exit!B:B,Dataset!B:S,21,)</f>
        <v>#REF!</v>
      </c>
      <c r="V39" s="1" t="s">
        <v>1615</v>
      </c>
      <c r="W39" s="1" t="s">
        <v>1567</v>
      </c>
    </row>
    <row r="40" spans="1:23" s="3" customFormat="1" x14ac:dyDescent="0.2">
      <c r="A40" s="1">
        <v>39</v>
      </c>
      <c r="B40" s="1" t="s">
        <v>1156</v>
      </c>
      <c r="C40" s="1" t="s">
        <v>1618</v>
      </c>
      <c r="D40" s="1" t="s">
        <v>1564</v>
      </c>
      <c r="E40" s="1" t="s">
        <v>78</v>
      </c>
      <c r="F40" s="1" t="s">
        <v>131</v>
      </c>
      <c r="G40" s="1" t="s">
        <v>1570</v>
      </c>
      <c r="H40" s="1" t="s">
        <v>63</v>
      </c>
      <c r="I40" s="1" t="str">
        <f>VLOOKUP(B:B,Dataset!B:J,8,)</f>
        <v>Male</v>
      </c>
      <c r="J40" s="57"/>
      <c r="K40" s="57"/>
      <c r="L40" s="8">
        <v>43697</v>
      </c>
      <c r="M40" s="7">
        <v>44694</v>
      </c>
      <c r="N40" s="57"/>
      <c r="O40" s="57"/>
      <c r="P40" s="1" t="s">
        <v>29</v>
      </c>
      <c r="Q40" s="57"/>
      <c r="R40" s="1">
        <v>63</v>
      </c>
      <c r="S40" s="57"/>
      <c r="T40" s="2">
        <v>1519910.4966321276</v>
      </c>
      <c r="U40" s="59" t="e">
        <f>VLOOKUP(Exit!B:B,Dataset!B:S,21,)</f>
        <v>#REF!</v>
      </c>
      <c r="V40" s="1" t="s">
        <v>1615</v>
      </c>
      <c r="W40" s="1" t="s">
        <v>1567</v>
      </c>
    </row>
    <row r="41" spans="1:23" s="3" customFormat="1" x14ac:dyDescent="0.2">
      <c r="A41" s="1">
        <v>40</v>
      </c>
      <c r="B41" s="1" t="s">
        <v>1185</v>
      </c>
      <c r="C41" s="1" t="s">
        <v>1619</v>
      </c>
      <c r="D41" s="1" t="s">
        <v>34</v>
      </c>
      <c r="E41" s="1" t="s">
        <v>35</v>
      </c>
      <c r="F41" s="1" t="s">
        <v>24</v>
      </c>
      <c r="G41" s="1" t="s">
        <v>1575</v>
      </c>
      <c r="H41" s="1" t="s">
        <v>63</v>
      </c>
      <c r="I41" s="1" t="str">
        <f>VLOOKUP(B:B,Dataset!B:J,8,)</f>
        <v>Male</v>
      </c>
      <c r="J41" s="57"/>
      <c r="K41" s="57"/>
      <c r="L41" s="8">
        <v>43843</v>
      </c>
      <c r="M41" s="7">
        <v>44833</v>
      </c>
      <c r="N41" s="57"/>
      <c r="O41" s="57"/>
      <c r="P41" s="1" t="s">
        <v>561</v>
      </c>
      <c r="Q41" s="57"/>
      <c r="R41" s="1">
        <v>52</v>
      </c>
      <c r="S41" s="57"/>
      <c r="T41" s="2">
        <v>519441</v>
      </c>
      <c r="U41" s="59" t="e">
        <f>VLOOKUP(Exit!B:B,Dataset!B:S,21,)</f>
        <v>#REF!</v>
      </c>
      <c r="V41" s="1" t="s">
        <v>1615</v>
      </c>
      <c r="W41" s="1" t="s">
        <v>1567</v>
      </c>
    </row>
    <row r="42" spans="1:23" s="3" customFormat="1" x14ac:dyDescent="0.2">
      <c r="A42" s="1">
        <v>41</v>
      </c>
      <c r="B42" s="1" t="s">
        <v>1216</v>
      </c>
      <c r="C42" s="1" t="s">
        <v>1620</v>
      </c>
      <c r="D42" s="1" t="s">
        <v>34</v>
      </c>
      <c r="E42" s="1" t="s">
        <v>350</v>
      </c>
      <c r="F42" s="1" t="s">
        <v>1220</v>
      </c>
      <c r="G42" s="1" t="s">
        <v>1570</v>
      </c>
      <c r="H42" s="1" t="s">
        <v>63</v>
      </c>
      <c r="I42" s="1" t="str">
        <f>VLOOKUP(B:B,Dataset!B:J,8,)</f>
        <v>Male</v>
      </c>
      <c r="J42" s="57"/>
      <c r="K42" s="57"/>
      <c r="L42" s="8">
        <v>43955</v>
      </c>
      <c r="M42" s="7">
        <v>44780</v>
      </c>
      <c r="N42" s="57"/>
      <c r="O42" s="57"/>
      <c r="P42" s="1" t="s">
        <v>561</v>
      </c>
      <c r="Q42" s="57"/>
      <c r="R42" s="1">
        <v>41</v>
      </c>
      <c r="S42" s="57"/>
      <c r="T42" s="2">
        <v>6000000</v>
      </c>
      <c r="U42" s="59" t="e">
        <f>VLOOKUP(Exit!B:B,Dataset!B:S,21,)</f>
        <v>#REF!</v>
      </c>
      <c r="V42" s="1" t="s">
        <v>1615</v>
      </c>
      <c r="W42" s="1" t="s">
        <v>1567</v>
      </c>
    </row>
    <row r="43" spans="1:23" s="3" customFormat="1" x14ac:dyDescent="0.2">
      <c r="A43" s="1">
        <v>42</v>
      </c>
      <c r="B43" s="1" t="s">
        <v>1247</v>
      </c>
      <c r="C43" s="1" t="s">
        <v>1621</v>
      </c>
      <c r="D43" s="1" t="s">
        <v>34</v>
      </c>
      <c r="E43" s="1" t="s">
        <v>35</v>
      </c>
      <c r="F43" s="1" t="s">
        <v>610</v>
      </c>
      <c r="G43" s="1" t="s">
        <v>1575</v>
      </c>
      <c r="H43" s="1" t="s">
        <v>63</v>
      </c>
      <c r="I43" s="1" t="str">
        <f>VLOOKUP(B:B,Dataset!B:J,8,)</f>
        <v>Male</v>
      </c>
      <c r="J43" s="57"/>
      <c r="K43" s="57"/>
      <c r="L43" s="8">
        <v>44075</v>
      </c>
      <c r="M43" s="7">
        <v>44776</v>
      </c>
      <c r="N43" s="57"/>
      <c r="O43" s="57"/>
      <c r="P43" s="1" t="s">
        <v>561</v>
      </c>
      <c r="Q43" s="57"/>
      <c r="R43" s="1">
        <v>30</v>
      </c>
      <c r="S43" s="57"/>
      <c r="T43" s="2">
        <v>1311341.76</v>
      </c>
      <c r="U43" s="59" t="e">
        <f>VLOOKUP(Exit!B:B,Dataset!B:S,21,)</f>
        <v>#REF!</v>
      </c>
      <c r="V43" s="1" t="s">
        <v>1615</v>
      </c>
      <c r="W43" s="1" t="s">
        <v>1567</v>
      </c>
    </row>
    <row r="44" spans="1:23" s="3" customFormat="1" x14ac:dyDescent="0.2">
      <c r="A44" s="1">
        <v>43</v>
      </c>
      <c r="B44" s="1" t="s">
        <v>1274</v>
      </c>
      <c r="C44" s="1" t="s">
        <v>1622</v>
      </c>
      <c r="D44" s="1" t="s">
        <v>1564</v>
      </c>
      <c r="E44" s="1" t="s">
        <v>78</v>
      </c>
      <c r="F44" s="1" t="s">
        <v>1277</v>
      </c>
      <c r="G44" s="1" t="s">
        <v>1570</v>
      </c>
      <c r="H44" s="1" t="s">
        <v>63</v>
      </c>
      <c r="I44" s="1" t="str">
        <f>VLOOKUP(B:B,Dataset!B:J,8,)</f>
        <v>Male</v>
      </c>
      <c r="J44" s="57"/>
      <c r="K44" s="57"/>
      <c r="L44" s="8">
        <v>44088</v>
      </c>
      <c r="M44" s="7">
        <v>44659</v>
      </c>
      <c r="N44" s="57"/>
      <c r="O44" s="57"/>
      <c r="P44" s="1" t="s">
        <v>561</v>
      </c>
      <c r="Q44" s="57"/>
      <c r="R44" s="1">
        <v>35</v>
      </c>
      <c r="S44" s="57"/>
      <c r="T44" s="2">
        <v>2035922.04</v>
      </c>
      <c r="U44" s="59" t="e">
        <f>VLOOKUP(Exit!B:B,Dataset!B:S,21,)</f>
        <v>#REF!</v>
      </c>
      <c r="V44" s="1" t="s">
        <v>1623</v>
      </c>
      <c r="W44" s="1" t="s">
        <v>1567</v>
      </c>
    </row>
    <row r="45" spans="1:23" s="3" customFormat="1" x14ac:dyDescent="0.2">
      <c r="A45" s="1">
        <v>44</v>
      </c>
      <c r="B45" s="1" t="s">
        <v>1302</v>
      </c>
      <c r="C45" s="1" t="s">
        <v>1624</v>
      </c>
      <c r="D45" s="1" t="s">
        <v>1582</v>
      </c>
      <c r="E45" s="1" t="s">
        <v>1603</v>
      </c>
      <c r="F45" s="1" t="s">
        <v>809</v>
      </c>
      <c r="G45" s="1" t="s">
        <v>1570</v>
      </c>
      <c r="H45" s="1" t="s">
        <v>63</v>
      </c>
      <c r="I45" s="1" t="str">
        <f>VLOOKUP(B:B,Dataset!B:J,8,)</f>
        <v>Male</v>
      </c>
      <c r="J45" s="57"/>
      <c r="K45" s="57"/>
      <c r="L45" s="8">
        <v>44106</v>
      </c>
      <c r="M45" s="7">
        <v>44720</v>
      </c>
      <c r="N45" s="57"/>
      <c r="O45" s="57"/>
      <c r="P45" s="1" t="s">
        <v>29</v>
      </c>
      <c r="Q45" s="57"/>
      <c r="R45" s="1">
        <v>94</v>
      </c>
      <c r="S45" s="57"/>
      <c r="T45" s="2">
        <v>2316489</v>
      </c>
      <c r="U45" s="59" t="e">
        <f>VLOOKUP(Exit!B:B,Dataset!B:S,21,)</f>
        <v>#REF!</v>
      </c>
      <c r="V45" s="1" t="s">
        <v>1623</v>
      </c>
      <c r="W45" s="1" t="s">
        <v>1567</v>
      </c>
    </row>
    <row r="46" spans="1:23" s="3" customFormat="1" x14ac:dyDescent="0.2">
      <c r="A46" s="1">
        <v>45</v>
      </c>
      <c r="B46" s="1" t="s">
        <v>1330</v>
      </c>
      <c r="C46" s="1" t="s">
        <v>1625</v>
      </c>
      <c r="D46" s="1" t="s">
        <v>1564</v>
      </c>
      <c r="E46" s="1" t="s">
        <v>557</v>
      </c>
      <c r="F46" s="1" t="s">
        <v>558</v>
      </c>
      <c r="G46" s="1" t="s">
        <v>1565</v>
      </c>
      <c r="H46" s="1" t="s">
        <v>63</v>
      </c>
      <c r="I46" s="1" t="str">
        <f>VLOOKUP(B:B,Dataset!B:J,8,)</f>
        <v>Male</v>
      </c>
      <c r="J46" s="57"/>
      <c r="K46" s="57"/>
      <c r="L46" s="8">
        <v>44151</v>
      </c>
      <c r="M46" s="7">
        <v>44659</v>
      </c>
      <c r="N46" s="57"/>
      <c r="O46" s="57"/>
      <c r="P46" s="1" t="s">
        <v>29</v>
      </c>
      <c r="Q46" s="57"/>
      <c r="R46" s="1">
        <v>83</v>
      </c>
      <c r="S46" s="57"/>
      <c r="T46" s="2">
        <v>1152756.3600000001</v>
      </c>
      <c r="U46" s="59" t="e">
        <f>VLOOKUP(Exit!B:B,Dataset!B:S,21,)</f>
        <v>#REF!</v>
      </c>
      <c r="V46" s="1" t="s">
        <v>1623</v>
      </c>
      <c r="W46" s="1" t="s">
        <v>1567</v>
      </c>
    </row>
    <row r="47" spans="1:23" s="3" customFormat="1" x14ac:dyDescent="0.2">
      <c r="A47" s="1">
        <v>46</v>
      </c>
      <c r="B47" s="1" t="s">
        <v>1356</v>
      </c>
      <c r="C47" s="1" t="s">
        <v>1626</v>
      </c>
      <c r="D47" s="1" t="s">
        <v>1564</v>
      </c>
      <c r="E47" s="1" t="s">
        <v>78</v>
      </c>
      <c r="F47" s="1" t="s">
        <v>131</v>
      </c>
      <c r="G47" s="1" t="s">
        <v>1570</v>
      </c>
      <c r="H47" s="1" t="s">
        <v>63</v>
      </c>
      <c r="I47" s="1" t="str">
        <f>VLOOKUP(B:B,Dataset!B:J,8,)</f>
        <v>Male</v>
      </c>
      <c r="J47" s="57"/>
      <c r="K47" s="57"/>
      <c r="L47" s="8">
        <v>44197</v>
      </c>
      <c r="M47" s="7">
        <v>44745</v>
      </c>
      <c r="N47" s="57"/>
      <c r="O47" s="57"/>
      <c r="P47" s="1" t="s">
        <v>561</v>
      </c>
      <c r="Q47" s="57"/>
      <c r="R47" s="1">
        <v>72</v>
      </c>
      <c r="S47" s="57"/>
      <c r="T47" s="2">
        <v>1066486.08</v>
      </c>
      <c r="U47" s="59" t="e">
        <f>VLOOKUP(Exit!B:B,Dataset!B:S,21,)</f>
        <v>#REF!</v>
      </c>
      <c r="V47" s="1" t="s">
        <v>1623</v>
      </c>
      <c r="W47" s="1" t="s">
        <v>1567</v>
      </c>
    </row>
    <row r="48" spans="1:23" s="3" customFormat="1" ht="14.45" customHeight="1" x14ac:dyDescent="0.2">
      <c r="A48" s="1">
        <v>47</v>
      </c>
      <c r="B48" s="1" t="s">
        <v>1385</v>
      </c>
      <c r="C48" s="1" t="s">
        <v>1627</v>
      </c>
      <c r="D48" s="1" t="s">
        <v>1582</v>
      </c>
      <c r="E48" s="1" t="s">
        <v>1628</v>
      </c>
      <c r="F48" s="1" t="s">
        <v>1389</v>
      </c>
      <c r="G48" s="1" t="s">
        <v>1575</v>
      </c>
      <c r="H48" s="1" t="s">
        <v>63</v>
      </c>
      <c r="I48" s="1" t="str">
        <f>VLOOKUP(B:B,Dataset!B:J,8,)</f>
        <v>Male</v>
      </c>
      <c r="J48" s="57"/>
      <c r="K48" s="57"/>
      <c r="L48" s="8">
        <v>44270</v>
      </c>
      <c r="M48" s="7">
        <v>44668</v>
      </c>
      <c r="N48" s="57"/>
      <c r="O48" s="57"/>
      <c r="P48" s="1" t="s">
        <v>29</v>
      </c>
      <c r="Q48" s="57"/>
      <c r="R48" s="1">
        <v>61</v>
      </c>
      <c r="S48" s="57"/>
      <c r="T48" s="10">
        <v>3538293</v>
      </c>
      <c r="U48" s="59" t="e">
        <f>VLOOKUP(Exit!B:B,Dataset!B:S,21,)</f>
        <v>#REF!</v>
      </c>
      <c r="V48" s="1" t="s">
        <v>1623</v>
      </c>
      <c r="W48" s="1" t="s">
        <v>1567</v>
      </c>
    </row>
    <row r="49" spans="1:23" s="3" customFormat="1" x14ac:dyDescent="0.2">
      <c r="A49" s="1">
        <v>48</v>
      </c>
      <c r="B49" s="1" t="s">
        <v>1412</v>
      </c>
      <c r="C49" s="1" t="s">
        <v>1629</v>
      </c>
      <c r="D49" s="1" t="s">
        <v>1582</v>
      </c>
      <c r="E49" s="1" t="s">
        <v>1603</v>
      </c>
      <c r="F49" s="1" t="s">
        <v>539</v>
      </c>
      <c r="G49" s="1" t="s">
        <v>1570</v>
      </c>
      <c r="H49" s="1" t="s">
        <v>63</v>
      </c>
      <c r="I49" s="1" t="str">
        <f>VLOOKUP(B:B,Dataset!B:J,8,)</f>
        <v>Male</v>
      </c>
      <c r="J49" s="57"/>
      <c r="K49" s="57"/>
      <c r="L49" s="8">
        <v>44317</v>
      </c>
      <c r="M49" s="7">
        <v>44682</v>
      </c>
      <c r="N49" s="57"/>
      <c r="O49" s="57"/>
      <c r="P49" s="1" t="str">
        <f>VLOOKUP(B:B,Dataset!B:Q,15,)</f>
        <v>Lagos</v>
      </c>
      <c r="Q49" s="57"/>
      <c r="R49" s="1">
        <v>50</v>
      </c>
      <c r="S49" s="57"/>
      <c r="T49" s="2">
        <v>736674</v>
      </c>
      <c r="U49" s="59" t="e">
        <f>VLOOKUP(Exit!B:B,Dataset!B:S,21,)</f>
        <v>#REF!</v>
      </c>
      <c r="V49" s="1" t="s">
        <v>1623</v>
      </c>
      <c r="W49" s="1" t="s">
        <v>1567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FF573-F8DC-4E1F-95DE-95260BC73258}">
  <sheetPr>
    <tabColor theme="1"/>
  </sheetPr>
  <dimension ref="B1:U273"/>
  <sheetViews>
    <sheetView topLeftCell="I1" workbookViewId="0">
      <selection activeCell="T1" sqref="T1:U1048576"/>
    </sheetView>
  </sheetViews>
  <sheetFormatPr defaultColWidth="8.85546875" defaultRowHeight="12.75" x14ac:dyDescent="0.2"/>
  <cols>
    <col min="1" max="1" width="1.5703125" style="26" customWidth="1"/>
    <col min="2" max="2" width="4" style="26" bestFit="1" customWidth="1"/>
    <col min="3" max="3" width="13.140625" style="26" bestFit="1" customWidth="1"/>
    <col min="4" max="4" width="2.42578125" style="26" customWidth="1"/>
    <col min="5" max="5" width="18.5703125" style="26" bestFit="1" customWidth="1"/>
    <col min="6" max="6" width="12.140625" style="26" bestFit="1" customWidth="1"/>
    <col min="7" max="7" width="2.42578125" style="26" customWidth="1"/>
    <col min="8" max="8" width="4.140625" style="26" bestFit="1" customWidth="1"/>
    <col min="9" max="9" width="13.42578125" style="26" bestFit="1" customWidth="1"/>
    <col min="10" max="10" width="2.42578125" style="26" customWidth="1"/>
    <col min="11" max="11" width="20.85546875" style="26" bestFit="1" customWidth="1"/>
    <col min="12" max="12" width="13.42578125" style="26" bestFit="1" customWidth="1"/>
    <col min="13" max="13" width="2.42578125" style="26" customWidth="1"/>
    <col min="14" max="14" width="16.7109375" style="26" bestFit="1" customWidth="1"/>
    <col min="15" max="15" width="10.140625" style="26" bestFit="1" customWidth="1"/>
    <col min="16" max="16" width="2.42578125" style="26" customWidth="1"/>
    <col min="17" max="17" width="30.5703125" style="26" bestFit="1" customWidth="1"/>
    <col min="18" max="18" width="11.28515625" style="26" bestFit="1" customWidth="1"/>
    <col min="19" max="19" width="2.42578125" style="26" customWidth="1"/>
    <col min="20" max="20" width="17.5703125" style="26" bestFit="1" customWidth="1"/>
    <col min="21" max="21" width="18.7109375" style="26" bestFit="1" customWidth="1"/>
    <col min="22" max="16384" width="8.85546875" style="26"/>
  </cols>
  <sheetData>
    <row r="1" spans="2:21" ht="13.5" thickBot="1" x14ac:dyDescent="0.25"/>
    <row r="2" spans="2:21" s="27" customFormat="1" x14ac:dyDescent="0.2">
      <c r="B2" s="60" t="s">
        <v>10</v>
      </c>
      <c r="C2" s="61" t="s">
        <v>11</v>
      </c>
      <c r="E2" s="62" t="s">
        <v>1630</v>
      </c>
      <c r="F2" s="63" t="s">
        <v>1631</v>
      </c>
      <c r="H2" s="64" t="s">
        <v>1632</v>
      </c>
      <c r="I2" s="65" t="s">
        <v>1633</v>
      </c>
      <c r="K2" s="66" t="s">
        <v>1634</v>
      </c>
      <c r="L2" s="67" t="s">
        <v>1635</v>
      </c>
      <c r="N2" s="68" t="s">
        <v>16</v>
      </c>
      <c r="O2" s="69" t="s">
        <v>1557</v>
      </c>
      <c r="Q2" s="70" t="s">
        <v>1636</v>
      </c>
      <c r="R2" s="71" t="s">
        <v>1555</v>
      </c>
      <c r="T2" s="72" t="s">
        <v>18</v>
      </c>
      <c r="U2" s="73" t="s">
        <v>1558</v>
      </c>
    </row>
    <row r="3" spans="2:21" x14ac:dyDescent="0.2">
      <c r="B3" s="28">
        <v>11</v>
      </c>
      <c r="C3" s="29" t="s">
        <v>1637</v>
      </c>
      <c r="E3" s="28" t="s">
        <v>1638</v>
      </c>
      <c r="F3" s="29" t="s">
        <v>1639</v>
      </c>
      <c r="H3" s="28">
        <v>0</v>
      </c>
      <c r="I3" s="29" t="s">
        <v>1640</v>
      </c>
      <c r="K3" s="28" t="s">
        <v>52</v>
      </c>
      <c r="L3" s="29" t="s">
        <v>1641</v>
      </c>
      <c r="N3" s="28" t="s">
        <v>29</v>
      </c>
      <c r="O3" s="29" t="s">
        <v>1642</v>
      </c>
      <c r="Q3" s="18" t="s">
        <v>637</v>
      </c>
      <c r="R3" s="19" t="s">
        <v>1575</v>
      </c>
      <c r="T3" s="50">
        <v>0</v>
      </c>
      <c r="U3" s="51" t="s">
        <v>1643</v>
      </c>
    </row>
    <row r="4" spans="2:21" x14ac:dyDescent="0.2">
      <c r="B4" s="28">
        <v>12</v>
      </c>
      <c r="C4" s="29" t="s">
        <v>1637</v>
      </c>
      <c r="E4" s="28" t="s">
        <v>47</v>
      </c>
      <c r="F4" s="29" t="s">
        <v>1639</v>
      </c>
      <c r="H4" s="28">
        <v>1</v>
      </c>
      <c r="I4" s="29" t="s">
        <v>1640</v>
      </c>
      <c r="K4" s="28" t="s">
        <v>78</v>
      </c>
      <c r="L4" s="29" t="s">
        <v>1644</v>
      </c>
      <c r="N4" s="28" t="s">
        <v>29</v>
      </c>
      <c r="O4" s="29" t="s">
        <v>1642</v>
      </c>
      <c r="Q4" s="18" t="s">
        <v>329</v>
      </c>
      <c r="R4" s="19" t="s">
        <v>1575</v>
      </c>
      <c r="T4" s="50">
        <v>1</v>
      </c>
      <c r="U4" s="51" t="s">
        <v>1643</v>
      </c>
    </row>
    <row r="5" spans="2:21" x14ac:dyDescent="0.2">
      <c r="B5" s="28">
        <v>13</v>
      </c>
      <c r="C5" s="29" t="s">
        <v>1637</v>
      </c>
      <c r="E5" s="28" t="s">
        <v>1028</v>
      </c>
      <c r="F5" s="29" t="s">
        <v>1639</v>
      </c>
      <c r="H5" s="28">
        <v>2</v>
      </c>
      <c r="I5" s="29" t="s">
        <v>1645</v>
      </c>
      <c r="K5" s="28" t="s">
        <v>35</v>
      </c>
      <c r="L5" s="29" t="s">
        <v>1646</v>
      </c>
      <c r="N5" s="28" t="s">
        <v>29</v>
      </c>
      <c r="O5" s="29" t="s">
        <v>1642</v>
      </c>
      <c r="Q5" s="18" t="s">
        <v>558</v>
      </c>
      <c r="R5" s="19" t="s">
        <v>1565</v>
      </c>
      <c r="T5" s="50">
        <v>2</v>
      </c>
      <c r="U5" s="51" t="s">
        <v>1643</v>
      </c>
    </row>
    <row r="6" spans="2:21" x14ac:dyDescent="0.2">
      <c r="B6" s="28">
        <v>14</v>
      </c>
      <c r="C6" s="29" t="s">
        <v>1637</v>
      </c>
      <c r="E6" s="28" t="s">
        <v>1647</v>
      </c>
      <c r="F6" s="29" t="s">
        <v>1639</v>
      </c>
      <c r="H6" s="28">
        <v>3</v>
      </c>
      <c r="I6" s="29" t="s">
        <v>1645</v>
      </c>
      <c r="K6" s="28" t="s">
        <v>221</v>
      </c>
      <c r="L6" s="29" t="s">
        <v>1644</v>
      </c>
      <c r="N6" s="28" t="s">
        <v>29</v>
      </c>
      <c r="O6" s="29" t="s">
        <v>1642</v>
      </c>
      <c r="Q6" s="18" t="s">
        <v>485</v>
      </c>
      <c r="R6" s="19" t="s">
        <v>1575</v>
      </c>
      <c r="T6" s="50">
        <v>3</v>
      </c>
      <c r="U6" s="51" t="s">
        <v>1643</v>
      </c>
    </row>
    <row r="7" spans="2:21" x14ac:dyDescent="0.2">
      <c r="B7" s="28">
        <v>15</v>
      </c>
      <c r="C7" s="29" t="s">
        <v>1637</v>
      </c>
      <c r="E7" s="28" t="s">
        <v>1648</v>
      </c>
      <c r="F7" s="29" t="s">
        <v>1639</v>
      </c>
      <c r="H7" s="28">
        <v>4</v>
      </c>
      <c r="I7" s="29" t="s">
        <v>1645</v>
      </c>
      <c r="K7" s="28" t="s">
        <v>43</v>
      </c>
      <c r="L7" s="29" t="s">
        <v>1646</v>
      </c>
      <c r="N7" s="28" t="s">
        <v>29</v>
      </c>
      <c r="O7" s="29" t="s">
        <v>1642</v>
      </c>
      <c r="Q7" s="18" t="s">
        <v>902</v>
      </c>
      <c r="R7" s="19" t="s">
        <v>1570</v>
      </c>
      <c r="T7" s="50">
        <v>4</v>
      </c>
      <c r="U7" s="51" t="s">
        <v>1643</v>
      </c>
    </row>
    <row r="8" spans="2:21" x14ac:dyDescent="0.2">
      <c r="B8" s="28">
        <v>16</v>
      </c>
      <c r="C8" s="29" t="s">
        <v>1637</v>
      </c>
      <c r="E8" s="28" t="s">
        <v>1649</v>
      </c>
      <c r="F8" s="29" t="s">
        <v>1639</v>
      </c>
      <c r="H8" s="28">
        <v>5</v>
      </c>
      <c r="I8" s="29" t="s">
        <v>1650</v>
      </c>
      <c r="K8" s="28" t="s">
        <v>322</v>
      </c>
      <c r="L8" s="29" t="s">
        <v>1641</v>
      </c>
      <c r="N8" s="28" t="s">
        <v>561</v>
      </c>
      <c r="O8" s="29" t="s">
        <v>1651</v>
      </c>
      <c r="Q8" s="18" t="s">
        <v>586</v>
      </c>
      <c r="R8" s="19" t="s">
        <v>1570</v>
      </c>
      <c r="T8" s="50">
        <v>5</v>
      </c>
      <c r="U8" s="51" t="s">
        <v>1643</v>
      </c>
    </row>
    <row r="9" spans="2:21" x14ac:dyDescent="0.2">
      <c r="B9" s="28">
        <v>17</v>
      </c>
      <c r="C9" s="29" t="s">
        <v>1637</v>
      </c>
      <c r="E9" s="28" t="s">
        <v>613</v>
      </c>
      <c r="F9" s="29" t="s">
        <v>1639</v>
      </c>
      <c r="H9" s="28">
        <v>6</v>
      </c>
      <c r="I9" s="29" t="s">
        <v>1650</v>
      </c>
      <c r="K9" s="28" t="s">
        <v>336</v>
      </c>
      <c r="L9" s="29" t="s">
        <v>1646</v>
      </c>
      <c r="N9" s="28" t="s">
        <v>561</v>
      </c>
      <c r="O9" s="29" t="s">
        <v>1651</v>
      </c>
      <c r="Q9" s="18" t="s">
        <v>323</v>
      </c>
      <c r="R9" s="19" t="s">
        <v>1570</v>
      </c>
      <c r="T9" s="50">
        <v>6</v>
      </c>
      <c r="U9" s="51" t="s">
        <v>1643</v>
      </c>
    </row>
    <row r="10" spans="2:21" x14ac:dyDescent="0.2">
      <c r="B10" s="28">
        <v>18</v>
      </c>
      <c r="C10" s="29" t="s">
        <v>1637</v>
      </c>
      <c r="E10" s="28" t="s">
        <v>718</v>
      </c>
      <c r="F10" s="29" t="s">
        <v>1652</v>
      </c>
      <c r="H10" s="28">
        <v>7</v>
      </c>
      <c r="I10" s="29" t="s">
        <v>1650</v>
      </c>
      <c r="K10" s="28" t="s">
        <v>350</v>
      </c>
      <c r="L10" s="29" t="s">
        <v>1644</v>
      </c>
      <c r="N10" s="28" t="s">
        <v>561</v>
      </c>
      <c r="O10" s="29" t="s">
        <v>1651</v>
      </c>
      <c r="Q10" s="18" t="s">
        <v>1220</v>
      </c>
      <c r="R10" s="19" t="s">
        <v>1570</v>
      </c>
      <c r="T10" s="50">
        <v>7</v>
      </c>
      <c r="U10" s="51" t="s">
        <v>1643</v>
      </c>
    </row>
    <row r="11" spans="2:21" x14ac:dyDescent="0.2">
      <c r="B11" s="28">
        <v>19</v>
      </c>
      <c r="C11" s="29" t="s">
        <v>1637</v>
      </c>
      <c r="E11" s="28" t="s">
        <v>1653</v>
      </c>
      <c r="F11" s="29" t="s">
        <v>1652</v>
      </c>
      <c r="H11" s="28">
        <v>8</v>
      </c>
      <c r="I11" s="29" t="s">
        <v>1650</v>
      </c>
      <c r="K11" s="28" t="s">
        <v>525</v>
      </c>
      <c r="L11" s="29" t="s">
        <v>1641</v>
      </c>
      <c r="N11" s="28" t="s">
        <v>561</v>
      </c>
      <c r="O11" s="29" t="s">
        <v>1651</v>
      </c>
      <c r="Q11" s="18" t="s">
        <v>678</v>
      </c>
      <c r="R11" s="19" t="s">
        <v>1570</v>
      </c>
      <c r="T11" s="50">
        <v>8</v>
      </c>
      <c r="U11" s="51" t="s">
        <v>1643</v>
      </c>
    </row>
    <row r="12" spans="2:21" x14ac:dyDescent="0.2">
      <c r="B12" s="28">
        <v>20</v>
      </c>
      <c r="C12" s="29" t="s">
        <v>1654</v>
      </c>
      <c r="E12" s="28" t="s">
        <v>1655</v>
      </c>
      <c r="F12" s="29" t="s">
        <v>1652</v>
      </c>
      <c r="H12" s="28">
        <v>9</v>
      </c>
      <c r="I12" s="29" t="s">
        <v>1650</v>
      </c>
      <c r="K12" s="28" t="s">
        <v>557</v>
      </c>
      <c r="L12" s="29" t="s">
        <v>1646</v>
      </c>
      <c r="N12" s="28" t="s">
        <v>561</v>
      </c>
      <c r="O12" s="29" t="s">
        <v>1651</v>
      </c>
      <c r="Q12" s="18" t="s">
        <v>573</v>
      </c>
      <c r="R12" s="19" t="s">
        <v>1570</v>
      </c>
      <c r="T12" s="50">
        <v>9</v>
      </c>
      <c r="U12" s="51" t="s">
        <v>1643</v>
      </c>
    </row>
    <row r="13" spans="2:21" x14ac:dyDescent="0.2">
      <c r="B13" s="28">
        <v>21</v>
      </c>
      <c r="C13" s="29" t="s">
        <v>1654</v>
      </c>
      <c r="E13" s="28" t="s">
        <v>724</v>
      </c>
      <c r="F13" s="29" t="s">
        <v>1652</v>
      </c>
      <c r="H13" s="28">
        <v>10</v>
      </c>
      <c r="I13" s="29" t="s">
        <v>1656</v>
      </c>
      <c r="K13" s="28" t="s">
        <v>572</v>
      </c>
      <c r="L13" s="29" t="s">
        <v>1641</v>
      </c>
      <c r="N13" s="28" t="s">
        <v>818</v>
      </c>
      <c r="O13" s="29" t="s">
        <v>1657</v>
      </c>
      <c r="Q13" s="18" t="s">
        <v>841</v>
      </c>
      <c r="R13" s="19" t="s">
        <v>1575</v>
      </c>
      <c r="T13" s="50">
        <v>10</v>
      </c>
      <c r="U13" s="51" t="s">
        <v>1643</v>
      </c>
    </row>
    <row r="14" spans="2:21" x14ac:dyDescent="0.2">
      <c r="B14" s="28">
        <v>22</v>
      </c>
      <c r="C14" s="29" t="s">
        <v>1654</v>
      </c>
      <c r="E14" s="28" t="s">
        <v>1658</v>
      </c>
      <c r="F14" s="29" t="s">
        <v>1652</v>
      </c>
      <c r="H14" s="28">
        <v>11</v>
      </c>
      <c r="I14" s="29" t="s">
        <v>1656</v>
      </c>
      <c r="K14" s="28" t="s">
        <v>629</v>
      </c>
      <c r="L14" s="29" t="s">
        <v>1646</v>
      </c>
      <c r="N14" s="28" t="s">
        <v>818</v>
      </c>
      <c r="O14" s="29" t="s">
        <v>1657</v>
      </c>
      <c r="Q14" s="18" t="s">
        <v>351</v>
      </c>
      <c r="R14" s="19" t="s">
        <v>1565</v>
      </c>
      <c r="T14" s="50">
        <v>11</v>
      </c>
      <c r="U14" s="51" t="s">
        <v>1643</v>
      </c>
    </row>
    <row r="15" spans="2:21" x14ac:dyDescent="0.2">
      <c r="B15" s="28">
        <v>23</v>
      </c>
      <c r="C15" s="29" t="s">
        <v>1654</v>
      </c>
      <c r="E15" s="28" t="s">
        <v>1659</v>
      </c>
      <c r="F15" s="29" t="s">
        <v>1652</v>
      </c>
      <c r="H15" s="28">
        <v>12</v>
      </c>
      <c r="I15" s="29" t="s">
        <v>1656</v>
      </c>
      <c r="K15" s="28" t="s">
        <v>656</v>
      </c>
      <c r="L15" s="29" t="s">
        <v>1646</v>
      </c>
      <c r="N15" s="28" t="s">
        <v>818</v>
      </c>
      <c r="O15" s="29" t="s">
        <v>1657</v>
      </c>
      <c r="Q15" s="18" t="s">
        <v>291</v>
      </c>
      <c r="R15" s="19" t="s">
        <v>1565</v>
      </c>
      <c r="T15" s="50">
        <v>12</v>
      </c>
      <c r="U15" s="51" t="s">
        <v>1643</v>
      </c>
    </row>
    <row r="16" spans="2:21" ht="13.5" thickBot="1" x14ac:dyDescent="0.25">
      <c r="B16" s="28">
        <v>24</v>
      </c>
      <c r="C16" s="29" t="s">
        <v>1654</v>
      </c>
      <c r="E16" s="28" t="s">
        <v>246</v>
      </c>
      <c r="F16" s="29" t="s">
        <v>1660</v>
      </c>
      <c r="H16" s="28">
        <v>13</v>
      </c>
      <c r="I16" s="29" t="s">
        <v>1656</v>
      </c>
      <c r="K16" s="30" t="s">
        <v>1661</v>
      </c>
      <c r="L16" s="31" t="s">
        <v>1646</v>
      </c>
      <c r="N16" s="28" t="s">
        <v>818</v>
      </c>
      <c r="O16" s="29" t="s">
        <v>1657</v>
      </c>
      <c r="Q16" s="18" t="s">
        <v>1272</v>
      </c>
      <c r="R16" s="19" t="s">
        <v>1565</v>
      </c>
      <c r="T16" s="50">
        <v>13</v>
      </c>
      <c r="U16" s="51" t="s">
        <v>1643</v>
      </c>
    </row>
    <row r="17" spans="2:21" x14ac:dyDescent="0.2">
      <c r="B17" s="28">
        <v>25</v>
      </c>
      <c r="C17" s="29" t="s">
        <v>1654</v>
      </c>
      <c r="E17" s="28" t="s">
        <v>1662</v>
      </c>
      <c r="F17" s="29" t="s">
        <v>1660</v>
      </c>
      <c r="H17" s="28">
        <v>14</v>
      </c>
      <c r="I17" s="29" t="s">
        <v>1656</v>
      </c>
      <c r="N17" s="28" t="s">
        <v>818</v>
      </c>
      <c r="O17" s="29" t="s">
        <v>1657</v>
      </c>
      <c r="Q17" s="18" t="s">
        <v>875</v>
      </c>
      <c r="R17" s="19" t="s">
        <v>1570</v>
      </c>
      <c r="T17" s="50">
        <v>14</v>
      </c>
      <c r="U17" s="51" t="s">
        <v>1643</v>
      </c>
    </row>
    <row r="18" spans="2:21" x14ac:dyDescent="0.2">
      <c r="B18" s="28">
        <v>26</v>
      </c>
      <c r="C18" s="29" t="s">
        <v>1654</v>
      </c>
      <c r="E18" s="28" t="s">
        <v>618</v>
      </c>
      <c r="F18" s="29" t="s">
        <v>1660</v>
      </c>
      <c r="H18" s="28">
        <v>15</v>
      </c>
      <c r="I18" s="29" t="s">
        <v>1663</v>
      </c>
      <c r="N18" s="28" t="s">
        <v>885</v>
      </c>
      <c r="O18" s="29" t="s">
        <v>1664</v>
      </c>
      <c r="Q18" s="18" t="s">
        <v>914</v>
      </c>
      <c r="R18" s="19" t="s">
        <v>1565</v>
      </c>
      <c r="T18" s="50">
        <v>15</v>
      </c>
      <c r="U18" s="51" t="s">
        <v>1643</v>
      </c>
    </row>
    <row r="19" spans="2:21" x14ac:dyDescent="0.2">
      <c r="B19" s="28">
        <v>27</v>
      </c>
      <c r="C19" s="29" t="s">
        <v>1654</v>
      </c>
      <c r="E19" s="28" t="s">
        <v>1665</v>
      </c>
      <c r="F19" s="29" t="s">
        <v>1660</v>
      </c>
      <c r="H19" s="28">
        <v>16</v>
      </c>
      <c r="I19" s="29" t="s">
        <v>1663</v>
      </c>
      <c r="N19" s="28" t="s">
        <v>885</v>
      </c>
      <c r="O19" s="29" t="s">
        <v>1664</v>
      </c>
      <c r="Q19" s="18" t="s">
        <v>24</v>
      </c>
      <c r="R19" s="19" t="s">
        <v>1575</v>
      </c>
      <c r="T19" s="50">
        <v>16</v>
      </c>
      <c r="U19" s="51" t="s">
        <v>1643</v>
      </c>
    </row>
    <row r="20" spans="2:21" x14ac:dyDescent="0.2">
      <c r="B20" s="28">
        <v>28</v>
      </c>
      <c r="C20" s="29" t="s">
        <v>1654</v>
      </c>
      <c r="E20" s="28" t="s">
        <v>1666</v>
      </c>
      <c r="F20" s="29" t="s">
        <v>1660</v>
      </c>
      <c r="H20" s="28">
        <v>17</v>
      </c>
      <c r="I20" s="29" t="s">
        <v>1663</v>
      </c>
      <c r="N20" s="28" t="s">
        <v>885</v>
      </c>
      <c r="O20" s="29" t="s">
        <v>1664</v>
      </c>
      <c r="Q20" s="18" t="s">
        <v>273</v>
      </c>
      <c r="R20" s="19" t="s">
        <v>1575</v>
      </c>
      <c r="T20" s="50">
        <v>17</v>
      </c>
      <c r="U20" s="51" t="s">
        <v>1643</v>
      </c>
    </row>
    <row r="21" spans="2:21" x14ac:dyDescent="0.2">
      <c r="B21" s="28">
        <v>29</v>
      </c>
      <c r="C21" s="29" t="s">
        <v>1654</v>
      </c>
      <c r="E21" s="28" t="s">
        <v>1667</v>
      </c>
      <c r="F21" s="29" t="s">
        <v>1660</v>
      </c>
      <c r="H21" s="28">
        <v>18</v>
      </c>
      <c r="I21" s="29" t="s">
        <v>1663</v>
      </c>
      <c r="N21" s="28" t="s">
        <v>885</v>
      </c>
      <c r="O21" s="29" t="s">
        <v>1664</v>
      </c>
      <c r="Q21" s="18" t="s">
        <v>1194</v>
      </c>
      <c r="R21" s="19" t="s">
        <v>1575</v>
      </c>
      <c r="T21" s="50">
        <v>18</v>
      </c>
      <c r="U21" s="51" t="s">
        <v>1643</v>
      </c>
    </row>
    <row r="22" spans="2:21" ht="13.5" thickBot="1" x14ac:dyDescent="0.25">
      <c r="B22" s="28">
        <v>30</v>
      </c>
      <c r="C22" s="29" t="s">
        <v>1668</v>
      </c>
      <c r="E22" s="28" t="s">
        <v>1669</v>
      </c>
      <c r="F22" s="29" t="s">
        <v>1660</v>
      </c>
      <c r="H22" s="28">
        <v>19</v>
      </c>
      <c r="I22" s="29" t="s">
        <v>1663</v>
      </c>
      <c r="N22" s="30" t="s">
        <v>885</v>
      </c>
      <c r="O22" s="31" t="s">
        <v>1664</v>
      </c>
      <c r="Q22" s="18" t="s">
        <v>1126</v>
      </c>
      <c r="R22" s="19" t="s">
        <v>1570</v>
      </c>
      <c r="T22" s="50">
        <v>19</v>
      </c>
      <c r="U22" s="51" t="s">
        <v>1643</v>
      </c>
    </row>
    <row r="23" spans="2:21" x14ac:dyDescent="0.2">
      <c r="B23" s="28">
        <v>31</v>
      </c>
      <c r="C23" s="29" t="s">
        <v>1668</v>
      </c>
      <c r="E23" s="28" t="s">
        <v>1670</v>
      </c>
      <c r="F23" s="29" t="s">
        <v>1671</v>
      </c>
      <c r="H23" s="28">
        <v>20</v>
      </c>
      <c r="I23" s="29" t="s">
        <v>1672</v>
      </c>
      <c r="Q23" s="18" t="s">
        <v>519</v>
      </c>
      <c r="R23" s="19" t="s">
        <v>1575</v>
      </c>
      <c r="T23" s="50">
        <v>20</v>
      </c>
      <c r="U23" s="51" t="s">
        <v>1643</v>
      </c>
    </row>
    <row r="24" spans="2:21" x14ac:dyDescent="0.2">
      <c r="B24" s="28">
        <v>32</v>
      </c>
      <c r="C24" s="29" t="s">
        <v>1668</v>
      </c>
      <c r="E24" s="28" t="s">
        <v>985</v>
      </c>
      <c r="F24" s="29" t="s">
        <v>1671</v>
      </c>
      <c r="H24" s="28">
        <v>21</v>
      </c>
      <c r="I24" s="29" t="s">
        <v>1672</v>
      </c>
      <c r="Q24" s="18" t="s">
        <v>644</v>
      </c>
      <c r="R24" s="19" t="s">
        <v>1575</v>
      </c>
      <c r="T24" s="50">
        <v>21</v>
      </c>
      <c r="U24" s="51" t="s">
        <v>1643</v>
      </c>
    </row>
    <row r="25" spans="2:21" x14ac:dyDescent="0.2">
      <c r="B25" s="28">
        <v>33</v>
      </c>
      <c r="C25" s="29" t="s">
        <v>1668</v>
      </c>
      <c r="E25" s="28" t="s">
        <v>1673</v>
      </c>
      <c r="F25" s="29" t="s">
        <v>1671</v>
      </c>
      <c r="H25" s="28">
        <v>22</v>
      </c>
      <c r="I25" s="29" t="s">
        <v>1672</v>
      </c>
      <c r="Q25" s="18" t="s">
        <v>795</v>
      </c>
      <c r="R25" s="19" t="s">
        <v>1575</v>
      </c>
      <c r="T25" s="50">
        <v>22</v>
      </c>
      <c r="U25" s="51" t="s">
        <v>1643</v>
      </c>
    </row>
    <row r="26" spans="2:21" x14ac:dyDescent="0.2">
      <c r="B26" s="28">
        <v>34</v>
      </c>
      <c r="C26" s="29" t="s">
        <v>1668</v>
      </c>
      <c r="E26" s="28" t="s">
        <v>99</v>
      </c>
      <c r="F26" s="29" t="s">
        <v>1671</v>
      </c>
      <c r="H26" s="28">
        <v>23</v>
      </c>
      <c r="I26" s="29" t="s">
        <v>1672</v>
      </c>
      <c r="Q26" s="18" t="s">
        <v>664</v>
      </c>
      <c r="R26" s="19" t="s">
        <v>1575</v>
      </c>
      <c r="T26" s="50">
        <v>23</v>
      </c>
      <c r="U26" s="51" t="s">
        <v>1643</v>
      </c>
    </row>
    <row r="27" spans="2:21" x14ac:dyDescent="0.2">
      <c r="B27" s="28">
        <v>35</v>
      </c>
      <c r="C27" s="29" t="s">
        <v>1668</v>
      </c>
      <c r="E27" s="28" t="s">
        <v>1674</v>
      </c>
      <c r="F27" s="29" t="s">
        <v>1671</v>
      </c>
      <c r="H27" s="28">
        <v>24</v>
      </c>
      <c r="I27" s="29" t="s">
        <v>1672</v>
      </c>
      <c r="Q27" s="18" t="s">
        <v>1288</v>
      </c>
      <c r="R27" s="19" t="s">
        <v>1575</v>
      </c>
      <c r="T27" s="50">
        <v>24</v>
      </c>
      <c r="U27" s="51" t="s">
        <v>1643</v>
      </c>
    </row>
    <row r="28" spans="2:21" x14ac:dyDescent="0.2">
      <c r="B28" s="28">
        <v>36</v>
      </c>
      <c r="C28" s="29" t="s">
        <v>1668</v>
      </c>
      <c r="E28" s="28" t="s">
        <v>1675</v>
      </c>
      <c r="F28" s="29" t="s">
        <v>1676</v>
      </c>
      <c r="H28" s="28">
        <v>25</v>
      </c>
      <c r="I28" s="29" t="s">
        <v>1672</v>
      </c>
      <c r="Q28" s="18" t="s">
        <v>896</v>
      </c>
      <c r="R28" s="19" t="s">
        <v>1565</v>
      </c>
      <c r="T28" s="50">
        <v>25</v>
      </c>
      <c r="U28" s="51" t="s">
        <v>1643</v>
      </c>
    </row>
    <row r="29" spans="2:21" x14ac:dyDescent="0.2">
      <c r="B29" s="28">
        <v>37</v>
      </c>
      <c r="C29" s="29" t="s">
        <v>1668</v>
      </c>
      <c r="E29" s="28" t="s">
        <v>1677</v>
      </c>
      <c r="F29" s="29" t="s">
        <v>1676</v>
      </c>
      <c r="H29" s="28">
        <v>26</v>
      </c>
      <c r="I29" s="29" t="s">
        <v>1672</v>
      </c>
      <c r="Q29" s="18" t="s">
        <v>544</v>
      </c>
      <c r="R29" s="19" t="s">
        <v>1565</v>
      </c>
      <c r="T29" s="50">
        <v>26</v>
      </c>
      <c r="U29" s="51" t="s">
        <v>1643</v>
      </c>
    </row>
    <row r="30" spans="2:21" x14ac:dyDescent="0.2">
      <c r="B30" s="28">
        <v>38</v>
      </c>
      <c r="C30" s="29" t="s">
        <v>1668</v>
      </c>
      <c r="E30" s="28" t="s">
        <v>1678</v>
      </c>
      <c r="F30" s="29" t="s">
        <v>1676</v>
      </c>
      <c r="H30" s="28">
        <v>27</v>
      </c>
      <c r="I30" s="29" t="s">
        <v>1672</v>
      </c>
      <c r="Q30" s="18" t="s">
        <v>1226</v>
      </c>
      <c r="R30" s="19" t="s">
        <v>1565</v>
      </c>
      <c r="T30" s="50">
        <v>27</v>
      </c>
      <c r="U30" s="51" t="s">
        <v>1643</v>
      </c>
    </row>
    <row r="31" spans="2:21" x14ac:dyDescent="0.2">
      <c r="B31" s="28">
        <v>39</v>
      </c>
      <c r="C31" s="29" t="s">
        <v>1668</v>
      </c>
      <c r="E31" s="28" t="s">
        <v>121</v>
      </c>
      <c r="F31" s="29" t="s">
        <v>1676</v>
      </c>
      <c r="H31" s="28">
        <v>28</v>
      </c>
      <c r="I31" s="29" t="s">
        <v>1672</v>
      </c>
      <c r="Q31" s="18" t="s">
        <v>344</v>
      </c>
      <c r="R31" s="19" t="s">
        <v>1565</v>
      </c>
      <c r="T31" s="50">
        <v>28</v>
      </c>
      <c r="U31" s="51" t="s">
        <v>1643</v>
      </c>
    </row>
    <row r="32" spans="2:21" x14ac:dyDescent="0.2">
      <c r="B32" s="28">
        <v>40</v>
      </c>
      <c r="C32" s="29" t="s">
        <v>1679</v>
      </c>
      <c r="E32" s="28" t="s">
        <v>870</v>
      </c>
      <c r="F32" s="29" t="s">
        <v>1676</v>
      </c>
      <c r="H32" s="28">
        <v>29</v>
      </c>
      <c r="I32" s="29" t="s">
        <v>1672</v>
      </c>
      <c r="Q32" s="18" t="s">
        <v>672</v>
      </c>
      <c r="R32" s="19" t="s">
        <v>1570</v>
      </c>
      <c r="T32" s="50">
        <v>29</v>
      </c>
      <c r="U32" s="51" t="s">
        <v>1643</v>
      </c>
    </row>
    <row r="33" spans="2:21" ht="13.5" thickBot="1" x14ac:dyDescent="0.25">
      <c r="B33" s="28">
        <v>41</v>
      </c>
      <c r="C33" s="29" t="s">
        <v>1679</v>
      </c>
      <c r="E33" s="28" t="s">
        <v>185</v>
      </c>
      <c r="F33" s="29" t="s">
        <v>1676</v>
      </c>
      <c r="H33" s="30">
        <v>30</v>
      </c>
      <c r="I33" s="31" t="s">
        <v>1672</v>
      </c>
      <c r="Q33" s="18" t="s">
        <v>387</v>
      </c>
      <c r="R33" s="19" t="s">
        <v>1565</v>
      </c>
      <c r="T33" s="50">
        <v>30</v>
      </c>
      <c r="U33" s="51" t="s">
        <v>1680</v>
      </c>
    </row>
    <row r="34" spans="2:21" x14ac:dyDescent="0.2">
      <c r="B34" s="28">
        <v>42</v>
      </c>
      <c r="C34" s="29" t="s">
        <v>1679</v>
      </c>
      <c r="E34" s="28" t="s">
        <v>1681</v>
      </c>
      <c r="F34" s="29" t="s">
        <v>1682</v>
      </c>
      <c r="Q34" s="18" t="s">
        <v>62</v>
      </c>
      <c r="R34" s="19" t="s">
        <v>1565</v>
      </c>
      <c r="T34" s="50">
        <v>31</v>
      </c>
      <c r="U34" s="51" t="s">
        <v>1680</v>
      </c>
    </row>
    <row r="35" spans="2:21" x14ac:dyDescent="0.2">
      <c r="B35" s="28">
        <v>43</v>
      </c>
      <c r="C35" s="29" t="s">
        <v>1679</v>
      </c>
      <c r="E35" s="28" t="s">
        <v>28</v>
      </c>
      <c r="F35" s="29" t="s">
        <v>1682</v>
      </c>
      <c r="K35" s="26" t="s">
        <v>52</v>
      </c>
      <c r="Q35" s="18" t="s">
        <v>1072</v>
      </c>
      <c r="R35" s="19" t="s">
        <v>1565</v>
      </c>
      <c r="T35" s="50">
        <v>32</v>
      </c>
      <c r="U35" s="51" t="s">
        <v>1680</v>
      </c>
    </row>
    <row r="36" spans="2:21" x14ac:dyDescent="0.2">
      <c r="B36" s="28">
        <v>44</v>
      </c>
      <c r="C36" s="29" t="s">
        <v>1679</v>
      </c>
      <c r="E36" s="28" t="s">
        <v>1683</v>
      </c>
      <c r="F36" s="29" t="s">
        <v>1682</v>
      </c>
      <c r="K36" s="26" t="s">
        <v>78</v>
      </c>
      <c r="Q36" s="18" t="s">
        <v>822</v>
      </c>
      <c r="R36" s="19" t="s">
        <v>1575</v>
      </c>
      <c r="T36" s="50">
        <v>33</v>
      </c>
      <c r="U36" s="51" t="s">
        <v>1680</v>
      </c>
    </row>
    <row r="37" spans="2:21" x14ac:dyDescent="0.2">
      <c r="B37" s="28">
        <v>45</v>
      </c>
      <c r="C37" s="29" t="s">
        <v>1679</v>
      </c>
      <c r="E37" s="28" t="s">
        <v>1074</v>
      </c>
      <c r="F37" s="29" t="s">
        <v>1682</v>
      </c>
      <c r="K37" s="26" t="s">
        <v>35</v>
      </c>
      <c r="Q37" s="18" t="s">
        <v>1389</v>
      </c>
      <c r="R37" s="19" t="s">
        <v>1575</v>
      </c>
      <c r="T37" s="50">
        <v>34</v>
      </c>
      <c r="U37" s="51" t="s">
        <v>1680</v>
      </c>
    </row>
    <row r="38" spans="2:21" x14ac:dyDescent="0.2">
      <c r="B38" s="28">
        <v>46</v>
      </c>
      <c r="C38" s="29" t="s">
        <v>1679</v>
      </c>
      <c r="E38" s="28" t="s">
        <v>56</v>
      </c>
      <c r="F38" s="29" t="s">
        <v>1682</v>
      </c>
      <c r="K38" s="26" t="s">
        <v>221</v>
      </c>
      <c r="Q38" s="18" t="s">
        <v>829</v>
      </c>
      <c r="R38" s="19" t="s">
        <v>1575</v>
      </c>
      <c r="T38" s="50">
        <v>35</v>
      </c>
      <c r="U38" s="51" t="s">
        <v>1680</v>
      </c>
    </row>
    <row r="39" spans="2:21" ht="13.5" thickBot="1" x14ac:dyDescent="0.25">
      <c r="B39" s="28">
        <v>47</v>
      </c>
      <c r="C39" s="29" t="s">
        <v>1679</v>
      </c>
      <c r="E39" s="30" t="s">
        <v>66</v>
      </c>
      <c r="F39" s="31" t="s">
        <v>1682</v>
      </c>
      <c r="K39" s="26" t="s">
        <v>43</v>
      </c>
      <c r="Q39" s="18" t="s">
        <v>244</v>
      </c>
      <c r="R39" s="19" t="s">
        <v>1565</v>
      </c>
      <c r="T39" s="50">
        <v>36</v>
      </c>
      <c r="U39" s="51" t="s">
        <v>1680</v>
      </c>
    </row>
    <row r="40" spans="2:21" x14ac:dyDescent="0.2">
      <c r="B40" s="28">
        <v>48</v>
      </c>
      <c r="C40" s="29" t="s">
        <v>1679</v>
      </c>
      <c r="K40" s="26" t="s">
        <v>322</v>
      </c>
      <c r="Q40" s="18" t="s">
        <v>505</v>
      </c>
      <c r="R40" s="19" t="s">
        <v>1565</v>
      </c>
      <c r="T40" s="50">
        <v>37</v>
      </c>
      <c r="U40" s="51" t="s">
        <v>1680</v>
      </c>
    </row>
    <row r="41" spans="2:21" x14ac:dyDescent="0.2">
      <c r="B41" s="28">
        <v>49</v>
      </c>
      <c r="C41" s="29" t="s">
        <v>1679</v>
      </c>
      <c r="K41" s="26" t="s">
        <v>336</v>
      </c>
      <c r="Q41" s="18" t="s">
        <v>512</v>
      </c>
      <c r="R41" s="19" t="s">
        <v>1575</v>
      </c>
      <c r="T41" s="50">
        <v>38</v>
      </c>
      <c r="U41" s="51" t="s">
        <v>1680</v>
      </c>
    </row>
    <row r="42" spans="2:21" x14ac:dyDescent="0.2">
      <c r="B42" s="28">
        <v>50</v>
      </c>
      <c r="C42" s="29" t="s">
        <v>1684</v>
      </c>
      <c r="K42" s="26" t="s">
        <v>350</v>
      </c>
      <c r="Q42" s="18" t="s">
        <v>860</v>
      </c>
      <c r="R42" s="19" t="s">
        <v>1575</v>
      </c>
      <c r="T42" s="50">
        <v>39</v>
      </c>
      <c r="U42" s="51" t="s">
        <v>1680</v>
      </c>
    </row>
    <row r="43" spans="2:21" x14ac:dyDescent="0.2">
      <c r="B43" s="28">
        <v>51</v>
      </c>
      <c r="C43" s="29" t="s">
        <v>1684</v>
      </c>
      <c r="K43" s="26" t="s">
        <v>525</v>
      </c>
      <c r="Q43" s="18" t="s">
        <v>853</v>
      </c>
      <c r="R43" s="19" t="s">
        <v>1570</v>
      </c>
      <c r="T43" s="50">
        <v>40</v>
      </c>
      <c r="U43" s="51" t="s">
        <v>1680</v>
      </c>
    </row>
    <row r="44" spans="2:21" x14ac:dyDescent="0.2">
      <c r="B44" s="28">
        <v>52</v>
      </c>
      <c r="C44" s="29" t="s">
        <v>1684</v>
      </c>
      <c r="K44" s="26" t="s">
        <v>557</v>
      </c>
      <c r="Q44" s="18" t="s">
        <v>1255</v>
      </c>
      <c r="R44" s="19" t="s">
        <v>1570</v>
      </c>
      <c r="T44" s="50">
        <v>41</v>
      </c>
      <c r="U44" s="51" t="s">
        <v>1680</v>
      </c>
    </row>
    <row r="45" spans="2:21" x14ac:dyDescent="0.2">
      <c r="B45" s="28">
        <v>53</v>
      </c>
      <c r="C45" s="29" t="s">
        <v>1684</v>
      </c>
      <c r="K45" s="26" t="s">
        <v>572</v>
      </c>
      <c r="Q45" s="18" t="s">
        <v>867</v>
      </c>
      <c r="R45" s="19" t="s">
        <v>1570</v>
      </c>
      <c r="T45" s="50">
        <v>42</v>
      </c>
      <c r="U45" s="51" t="s">
        <v>1680</v>
      </c>
    </row>
    <row r="46" spans="2:21" x14ac:dyDescent="0.2">
      <c r="B46" s="28">
        <v>54</v>
      </c>
      <c r="C46" s="29" t="s">
        <v>1684</v>
      </c>
      <c r="K46" s="26" t="s">
        <v>629</v>
      </c>
      <c r="Q46" s="18" t="s">
        <v>835</v>
      </c>
      <c r="R46" s="19" t="s">
        <v>1565</v>
      </c>
      <c r="T46" s="50">
        <v>43</v>
      </c>
      <c r="U46" s="51" t="s">
        <v>1680</v>
      </c>
    </row>
    <row r="47" spans="2:21" x14ac:dyDescent="0.2">
      <c r="B47" s="28">
        <v>55</v>
      </c>
      <c r="C47" s="29" t="s">
        <v>1684</v>
      </c>
      <c r="K47" s="26" t="s">
        <v>656</v>
      </c>
      <c r="Q47" s="18" t="s">
        <v>650</v>
      </c>
      <c r="R47" s="19" t="s">
        <v>1570</v>
      </c>
      <c r="T47" s="50">
        <v>44</v>
      </c>
      <c r="U47" s="51" t="s">
        <v>1680</v>
      </c>
    </row>
    <row r="48" spans="2:21" x14ac:dyDescent="0.2">
      <c r="B48" s="28">
        <v>56</v>
      </c>
      <c r="C48" s="29" t="s">
        <v>1685</v>
      </c>
      <c r="K48" s="26" t="s">
        <v>671</v>
      </c>
      <c r="Q48" s="18" t="s">
        <v>303</v>
      </c>
      <c r="R48" s="19" t="s">
        <v>1565</v>
      </c>
      <c r="T48" s="50">
        <v>45</v>
      </c>
      <c r="U48" s="51" t="s">
        <v>1680</v>
      </c>
    </row>
    <row r="49" spans="2:21" ht="15" x14ac:dyDescent="0.25">
      <c r="B49" s="28">
        <v>57</v>
      </c>
      <c r="C49" s="29" t="s">
        <v>1685</v>
      </c>
      <c r="K49"/>
      <c r="Q49" s="18" t="s">
        <v>1376</v>
      </c>
      <c r="R49" s="19" t="s">
        <v>1565</v>
      </c>
      <c r="T49" s="50">
        <v>46</v>
      </c>
      <c r="U49" s="51" t="s">
        <v>1680</v>
      </c>
    </row>
    <row r="50" spans="2:21" ht="15" x14ac:dyDescent="0.25">
      <c r="B50" s="28">
        <v>58</v>
      </c>
      <c r="C50" s="29" t="s">
        <v>1685</v>
      </c>
      <c r="K50"/>
      <c r="Q50" s="18" t="s">
        <v>597</v>
      </c>
      <c r="R50" s="19" t="s">
        <v>1565</v>
      </c>
      <c r="T50" s="50">
        <v>47</v>
      </c>
      <c r="U50" s="51" t="s">
        <v>1680</v>
      </c>
    </row>
    <row r="51" spans="2:21" ht="15" x14ac:dyDescent="0.25">
      <c r="B51" s="28">
        <v>59</v>
      </c>
      <c r="C51" s="29" t="s">
        <v>1685</v>
      </c>
      <c r="K51"/>
      <c r="Q51" s="18" t="s">
        <v>315</v>
      </c>
      <c r="R51" s="19" t="s">
        <v>1565</v>
      </c>
      <c r="T51" s="50">
        <v>48</v>
      </c>
      <c r="U51" s="51" t="s">
        <v>1680</v>
      </c>
    </row>
    <row r="52" spans="2:21" ht="15" x14ac:dyDescent="0.25">
      <c r="B52" s="28">
        <v>60</v>
      </c>
      <c r="C52" s="29" t="s">
        <v>1685</v>
      </c>
      <c r="K52"/>
      <c r="Q52" s="18" t="s">
        <v>1000</v>
      </c>
      <c r="R52" s="19" t="s">
        <v>1565</v>
      </c>
      <c r="T52" s="50">
        <v>49</v>
      </c>
      <c r="U52" s="51" t="s">
        <v>1680</v>
      </c>
    </row>
    <row r="53" spans="2:21" ht="15" x14ac:dyDescent="0.25">
      <c r="B53" s="28">
        <v>61</v>
      </c>
      <c r="C53" s="29" t="s">
        <v>1685</v>
      </c>
      <c r="K53"/>
      <c r="Q53" s="18" t="s">
        <v>71</v>
      </c>
      <c r="R53" s="19" t="s">
        <v>1565</v>
      </c>
      <c r="T53" s="50">
        <v>50</v>
      </c>
      <c r="U53" s="51" t="s">
        <v>1686</v>
      </c>
    </row>
    <row r="54" spans="2:21" ht="15" x14ac:dyDescent="0.25">
      <c r="B54" s="28">
        <v>62</v>
      </c>
      <c r="C54" s="29" t="s">
        <v>1685</v>
      </c>
      <c r="K54"/>
      <c r="Q54" s="18" t="s">
        <v>364</v>
      </c>
      <c r="R54" s="19" t="s">
        <v>1565</v>
      </c>
      <c r="T54" s="50">
        <v>51</v>
      </c>
      <c r="U54" s="51" t="s">
        <v>1686</v>
      </c>
    </row>
    <row r="55" spans="2:21" ht="15" x14ac:dyDescent="0.25">
      <c r="B55" s="28">
        <v>63</v>
      </c>
      <c r="C55" s="29" t="s">
        <v>1685</v>
      </c>
      <c r="K55"/>
      <c r="Q55" s="18" t="s">
        <v>926</v>
      </c>
      <c r="R55" s="19" t="s">
        <v>1570</v>
      </c>
      <c r="T55" s="50">
        <v>52</v>
      </c>
      <c r="U55" s="51" t="s">
        <v>1686</v>
      </c>
    </row>
    <row r="56" spans="2:21" ht="15" x14ac:dyDescent="0.25">
      <c r="B56" s="28">
        <v>63</v>
      </c>
      <c r="C56" s="29" t="s">
        <v>1685</v>
      </c>
      <c r="K56"/>
      <c r="Q56" s="18" t="s">
        <v>630</v>
      </c>
      <c r="R56" s="19" t="s">
        <v>1575</v>
      </c>
      <c r="T56" s="50">
        <v>53</v>
      </c>
      <c r="U56" s="51" t="s">
        <v>1686</v>
      </c>
    </row>
    <row r="57" spans="2:21" ht="15.75" thickBot="1" x14ac:dyDescent="0.3">
      <c r="B57" s="30">
        <v>63</v>
      </c>
      <c r="C57" s="29" t="s">
        <v>1685</v>
      </c>
      <c r="K57"/>
      <c r="Q57" s="18" t="s">
        <v>227</v>
      </c>
      <c r="R57" s="19" t="s">
        <v>1575</v>
      </c>
      <c r="T57" s="50">
        <v>54</v>
      </c>
      <c r="U57" s="51" t="s">
        <v>1686</v>
      </c>
    </row>
    <row r="58" spans="2:21" ht="15" x14ac:dyDescent="0.25">
      <c r="K58"/>
      <c r="Q58" s="18" t="s">
        <v>1277</v>
      </c>
      <c r="R58" s="19" t="s">
        <v>1570</v>
      </c>
      <c r="T58" s="50">
        <v>55</v>
      </c>
      <c r="U58" s="51" t="s">
        <v>1686</v>
      </c>
    </row>
    <row r="59" spans="2:21" ht="15" x14ac:dyDescent="0.25">
      <c r="K59"/>
      <c r="Q59" s="18" t="s">
        <v>131</v>
      </c>
      <c r="R59" s="19" t="s">
        <v>1570</v>
      </c>
      <c r="T59" s="50">
        <v>56</v>
      </c>
      <c r="U59" s="51" t="s">
        <v>1686</v>
      </c>
    </row>
    <row r="60" spans="2:21" ht="15" x14ac:dyDescent="0.25">
      <c r="K60"/>
      <c r="Q60" s="18" t="s">
        <v>539</v>
      </c>
      <c r="R60" s="19" t="s">
        <v>1570</v>
      </c>
      <c r="T60" s="50">
        <v>57</v>
      </c>
      <c r="U60" s="51" t="s">
        <v>1686</v>
      </c>
    </row>
    <row r="61" spans="2:21" ht="15" x14ac:dyDescent="0.25">
      <c r="K61"/>
      <c r="Q61" s="18" t="s">
        <v>249</v>
      </c>
      <c r="R61" s="19" t="s">
        <v>1565</v>
      </c>
      <c r="T61" s="50">
        <v>58</v>
      </c>
      <c r="U61" s="51" t="s">
        <v>1686</v>
      </c>
    </row>
    <row r="62" spans="2:21" ht="15" x14ac:dyDescent="0.25">
      <c r="K62"/>
      <c r="Q62" s="18" t="s">
        <v>657</v>
      </c>
      <c r="R62" s="19" t="s">
        <v>1575</v>
      </c>
      <c r="T62" s="50">
        <v>59</v>
      </c>
      <c r="U62" s="51" t="s">
        <v>1686</v>
      </c>
    </row>
    <row r="63" spans="2:21" ht="15" x14ac:dyDescent="0.25">
      <c r="K63"/>
      <c r="Q63" s="18" t="s">
        <v>86</v>
      </c>
      <c r="R63" s="19" t="s">
        <v>1565</v>
      </c>
      <c r="T63" s="50">
        <v>60</v>
      </c>
      <c r="U63" s="51" t="s">
        <v>1686</v>
      </c>
    </row>
    <row r="64" spans="2:21" ht="15" x14ac:dyDescent="0.25">
      <c r="K64"/>
      <c r="Q64" s="18" t="s">
        <v>604</v>
      </c>
      <c r="R64" s="19" t="s">
        <v>1565</v>
      </c>
      <c r="T64" s="50">
        <v>61</v>
      </c>
      <c r="U64" s="51" t="s">
        <v>1686</v>
      </c>
    </row>
    <row r="65" spans="11:21" ht="15" x14ac:dyDescent="0.25">
      <c r="K65"/>
      <c r="Q65" s="18" t="s">
        <v>802</v>
      </c>
      <c r="R65" s="19" t="s">
        <v>1575</v>
      </c>
      <c r="T65" s="50">
        <v>62</v>
      </c>
      <c r="U65" s="51" t="s">
        <v>1686</v>
      </c>
    </row>
    <row r="66" spans="11:21" ht="15" x14ac:dyDescent="0.25">
      <c r="K66"/>
      <c r="Q66" s="18" t="s">
        <v>53</v>
      </c>
      <c r="R66" s="19" t="s">
        <v>1565</v>
      </c>
      <c r="T66" s="50">
        <v>63</v>
      </c>
      <c r="U66" s="51" t="s">
        <v>1686</v>
      </c>
    </row>
    <row r="67" spans="11:21" ht="15" x14ac:dyDescent="0.25">
      <c r="K67"/>
      <c r="Q67" s="18" t="s">
        <v>370</v>
      </c>
      <c r="R67" s="19" t="s">
        <v>1565</v>
      </c>
      <c r="T67" s="50">
        <v>64</v>
      </c>
      <c r="U67" s="51" t="s">
        <v>1686</v>
      </c>
    </row>
    <row r="68" spans="11:21" ht="15" x14ac:dyDescent="0.25">
      <c r="K68"/>
      <c r="Q68" s="18" t="s">
        <v>1245</v>
      </c>
      <c r="R68" s="19" t="s">
        <v>1570</v>
      </c>
      <c r="T68" s="50">
        <v>65</v>
      </c>
      <c r="U68" s="51" t="s">
        <v>1686</v>
      </c>
    </row>
    <row r="69" spans="11:21" ht="15" x14ac:dyDescent="0.25">
      <c r="K69"/>
      <c r="Q69" s="18" t="s">
        <v>466</v>
      </c>
      <c r="R69" s="19" t="s">
        <v>1565</v>
      </c>
      <c r="T69" s="50">
        <v>66</v>
      </c>
      <c r="U69" s="51" t="s">
        <v>1686</v>
      </c>
    </row>
    <row r="70" spans="11:21" ht="15" x14ac:dyDescent="0.25">
      <c r="K70"/>
      <c r="Q70" s="18" t="s">
        <v>238</v>
      </c>
      <c r="R70" s="19" t="s">
        <v>1575</v>
      </c>
      <c r="T70" s="50">
        <v>67</v>
      </c>
      <c r="U70" s="51" t="s">
        <v>1686</v>
      </c>
    </row>
    <row r="71" spans="11:21" ht="15" x14ac:dyDescent="0.25">
      <c r="K71"/>
      <c r="Q71" s="18" t="s">
        <v>1432</v>
      </c>
      <c r="R71" s="19" t="s">
        <v>1570</v>
      </c>
      <c r="T71" s="50">
        <v>68</v>
      </c>
      <c r="U71" s="51" t="s">
        <v>1686</v>
      </c>
    </row>
    <row r="72" spans="11:21" ht="15" x14ac:dyDescent="0.25">
      <c r="K72"/>
      <c r="Q72" s="18" t="s">
        <v>847</v>
      </c>
      <c r="R72" s="19" t="s">
        <v>1565</v>
      </c>
      <c r="T72" s="50">
        <v>69</v>
      </c>
      <c r="U72" s="51" t="s">
        <v>1686</v>
      </c>
    </row>
    <row r="73" spans="11:21" ht="15" x14ac:dyDescent="0.25">
      <c r="K73"/>
      <c r="Q73" s="18" t="s">
        <v>1119</v>
      </c>
      <c r="R73" s="19" t="s">
        <v>1570</v>
      </c>
      <c r="T73" s="50">
        <v>70</v>
      </c>
      <c r="U73" s="51" t="s">
        <v>1687</v>
      </c>
    </row>
    <row r="74" spans="11:21" ht="15" x14ac:dyDescent="0.25">
      <c r="K74"/>
      <c r="Q74" s="18" t="s">
        <v>499</v>
      </c>
      <c r="R74" s="19" t="s">
        <v>1570</v>
      </c>
      <c r="T74" s="50">
        <v>71</v>
      </c>
      <c r="U74" s="51" t="s">
        <v>1687</v>
      </c>
    </row>
    <row r="75" spans="11:21" ht="15" x14ac:dyDescent="0.25">
      <c r="K75"/>
      <c r="Q75" s="18" t="s">
        <v>1207</v>
      </c>
      <c r="R75" s="19" t="s">
        <v>1565</v>
      </c>
      <c r="T75" s="50">
        <v>72</v>
      </c>
      <c r="U75" s="51" t="s">
        <v>1687</v>
      </c>
    </row>
    <row r="76" spans="11:21" ht="15" x14ac:dyDescent="0.25">
      <c r="K76"/>
      <c r="Q76" s="18" t="s">
        <v>815</v>
      </c>
      <c r="R76" s="19" t="s">
        <v>1565</v>
      </c>
      <c r="T76" s="50">
        <v>73</v>
      </c>
      <c r="U76" s="51" t="s">
        <v>1687</v>
      </c>
    </row>
    <row r="77" spans="11:21" ht="15" x14ac:dyDescent="0.25">
      <c r="K77"/>
      <c r="Q77" s="18" t="s">
        <v>1166</v>
      </c>
      <c r="R77" s="19" t="s">
        <v>1570</v>
      </c>
      <c r="T77" s="50">
        <v>74</v>
      </c>
      <c r="U77" s="51" t="s">
        <v>1687</v>
      </c>
    </row>
    <row r="78" spans="11:21" ht="15" x14ac:dyDescent="0.25">
      <c r="K78"/>
      <c r="Q78" s="18" t="s">
        <v>580</v>
      </c>
      <c r="R78" s="19" t="s">
        <v>1570</v>
      </c>
      <c r="T78" s="50">
        <v>75</v>
      </c>
      <c r="U78" s="51" t="s">
        <v>1687</v>
      </c>
    </row>
    <row r="79" spans="11:21" ht="15" x14ac:dyDescent="0.25">
      <c r="K79"/>
      <c r="Q79" s="18" t="s">
        <v>1300</v>
      </c>
      <c r="R79" s="19" t="s">
        <v>1565</v>
      </c>
      <c r="T79" s="50">
        <v>76</v>
      </c>
      <c r="U79" s="51" t="s">
        <v>1687</v>
      </c>
    </row>
    <row r="80" spans="11:21" ht="15" x14ac:dyDescent="0.25">
      <c r="K80"/>
      <c r="Q80" s="18" t="s">
        <v>1266</v>
      </c>
      <c r="R80" s="19" t="s">
        <v>1565</v>
      </c>
      <c r="T80" s="50">
        <v>77</v>
      </c>
      <c r="U80" s="51" t="s">
        <v>1687</v>
      </c>
    </row>
    <row r="81" spans="11:21" ht="15" x14ac:dyDescent="0.25">
      <c r="K81"/>
      <c r="Q81" s="18" t="s">
        <v>44</v>
      </c>
      <c r="R81" s="19" t="s">
        <v>1565</v>
      </c>
      <c r="T81" s="50">
        <v>78</v>
      </c>
      <c r="U81" s="51" t="s">
        <v>1687</v>
      </c>
    </row>
    <row r="82" spans="11:21" ht="15" x14ac:dyDescent="0.25">
      <c r="K82"/>
      <c r="Q82" s="18" t="s">
        <v>1238</v>
      </c>
      <c r="R82" s="19" t="s">
        <v>1565</v>
      </c>
      <c r="T82" s="50">
        <v>79</v>
      </c>
      <c r="U82" s="51" t="s">
        <v>1687</v>
      </c>
    </row>
    <row r="83" spans="11:21" ht="15" x14ac:dyDescent="0.25">
      <c r="K83"/>
      <c r="Q83" s="18" t="s">
        <v>610</v>
      </c>
      <c r="R83" s="19" t="s">
        <v>1575</v>
      </c>
      <c r="T83" s="50">
        <v>80</v>
      </c>
      <c r="U83" s="51" t="s">
        <v>1688</v>
      </c>
    </row>
    <row r="84" spans="11:21" ht="15" x14ac:dyDescent="0.25">
      <c r="K84"/>
      <c r="Q84" s="18" t="s">
        <v>492</v>
      </c>
      <c r="R84" s="19" t="s">
        <v>1570</v>
      </c>
      <c r="T84" s="50">
        <v>81</v>
      </c>
      <c r="U84" s="51" t="s">
        <v>1688</v>
      </c>
    </row>
    <row r="85" spans="11:21" ht="15" x14ac:dyDescent="0.25">
      <c r="K85"/>
      <c r="Q85" s="20" t="s">
        <v>771</v>
      </c>
      <c r="R85" s="21" t="s">
        <v>1570</v>
      </c>
      <c r="T85" s="50">
        <v>82</v>
      </c>
      <c r="U85" s="51" t="s">
        <v>1688</v>
      </c>
    </row>
    <row r="86" spans="11:21" ht="15" x14ac:dyDescent="0.25">
      <c r="K86"/>
      <c r="Q86" s="18" t="s">
        <v>1107</v>
      </c>
      <c r="R86" s="19" t="s">
        <v>1570</v>
      </c>
      <c r="T86" s="50">
        <v>83</v>
      </c>
      <c r="U86" s="51" t="s">
        <v>1688</v>
      </c>
    </row>
    <row r="87" spans="11:21" ht="15" x14ac:dyDescent="0.25">
      <c r="K87"/>
      <c r="Q87" s="18" t="s">
        <v>971</v>
      </c>
      <c r="R87" s="19" t="s">
        <v>1565</v>
      </c>
      <c r="T87" s="50">
        <v>84</v>
      </c>
      <c r="U87" s="51" t="s">
        <v>1688</v>
      </c>
    </row>
    <row r="88" spans="11:21" ht="15" x14ac:dyDescent="0.25">
      <c r="K88"/>
      <c r="Q88" s="18" t="s">
        <v>1420</v>
      </c>
      <c r="R88" s="19" t="s">
        <v>1565</v>
      </c>
      <c r="T88" s="50">
        <v>85</v>
      </c>
      <c r="U88" s="51" t="s">
        <v>1688</v>
      </c>
    </row>
    <row r="89" spans="11:21" ht="15" x14ac:dyDescent="0.25">
      <c r="K89"/>
      <c r="Q89" s="22" t="s">
        <v>1328</v>
      </c>
      <c r="R89" s="23" t="s">
        <v>1570</v>
      </c>
      <c r="T89" s="50">
        <v>86</v>
      </c>
      <c r="U89" s="51" t="s">
        <v>1688</v>
      </c>
    </row>
    <row r="90" spans="11:21" ht="15" x14ac:dyDescent="0.25">
      <c r="K90"/>
      <c r="Q90" s="18" t="s">
        <v>79</v>
      </c>
      <c r="R90" s="19" t="s">
        <v>1570</v>
      </c>
      <c r="T90" s="50">
        <v>87</v>
      </c>
      <c r="U90" s="51" t="s">
        <v>1688</v>
      </c>
    </row>
    <row r="91" spans="11:21" ht="15" x14ac:dyDescent="0.25">
      <c r="K91"/>
      <c r="Q91" s="18" t="s">
        <v>952</v>
      </c>
      <c r="R91" s="19" t="s">
        <v>1565</v>
      </c>
      <c r="T91" s="50">
        <v>88</v>
      </c>
      <c r="U91" s="51" t="s">
        <v>1688</v>
      </c>
    </row>
    <row r="92" spans="11:21" ht="15" x14ac:dyDescent="0.25">
      <c r="K92"/>
      <c r="Q92" s="18" t="s">
        <v>337</v>
      </c>
      <c r="R92" s="19" t="s">
        <v>1565</v>
      </c>
      <c r="T92" s="50">
        <v>89</v>
      </c>
      <c r="U92" s="51" t="s">
        <v>1688</v>
      </c>
    </row>
    <row r="93" spans="11:21" ht="15" x14ac:dyDescent="0.25">
      <c r="K93"/>
      <c r="Q93" s="18" t="s">
        <v>532</v>
      </c>
      <c r="R93" s="19" t="s">
        <v>1565</v>
      </c>
      <c r="T93" s="50">
        <v>90</v>
      </c>
      <c r="U93" s="51" t="s">
        <v>1688</v>
      </c>
    </row>
    <row r="94" spans="11:21" ht="15" x14ac:dyDescent="0.25">
      <c r="K94"/>
      <c r="Q94" s="22" t="s">
        <v>526</v>
      </c>
      <c r="R94" s="23" t="s">
        <v>1565</v>
      </c>
      <c r="T94" s="50">
        <v>91</v>
      </c>
      <c r="U94" s="51" t="s">
        <v>1688</v>
      </c>
    </row>
    <row r="95" spans="11:21" ht="15" x14ac:dyDescent="0.25">
      <c r="K95"/>
      <c r="Q95" s="18" t="s">
        <v>1201</v>
      </c>
      <c r="R95" s="19" t="s">
        <v>1565</v>
      </c>
      <c r="T95" s="50">
        <v>92</v>
      </c>
      <c r="U95" s="51" t="s">
        <v>1688</v>
      </c>
    </row>
    <row r="96" spans="11:21" ht="15" x14ac:dyDescent="0.25">
      <c r="K96"/>
      <c r="Q96" s="18" t="s">
        <v>809</v>
      </c>
      <c r="R96" s="19" t="s">
        <v>1570</v>
      </c>
      <c r="T96" s="50">
        <v>93</v>
      </c>
      <c r="U96" s="51" t="s">
        <v>1688</v>
      </c>
    </row>
    <row r="97" spans="11:21" ht="15" x14ac:dyDescent="0.25">
      <c r="K97"/>
      <c r="Q97" s="18" t="s">
        <v>1100</v>
      </c>
      <c r="R97" s="19" t="s">
        <v>1565</v>
      </c>
      <c r="T97" s="50">
        <v>94</v>
      </c>
      <c r="U97" s="51" t="s">
        <v>1688</v>
      </c>
    </row>
    <row r="98" spans="11:21" ht="15" x14ac:dyDescent="0.25">
      <c r="K98"/>
      <c r="Q98" s="18" t="s">
        <v>267</v>
      </c>
      <c r="R98" s="19" t="s">
        <v>1565</v>
      </c>
      <c r="T98" s="50">
        <v>95</v>
      </c>
      <c r="U98" s="51" t="s">
        <v>1688</v>
      </c>
    </row>
    <row r="99" spans="11:21" ht="15" x14ac:dyDescent="0.25">
      <c r="K99"/>
      <c r="Q99" s="18" t="s">
        <v>566</v>
      </c>
      <c r="R99" s="19" t="s">
        <v>1570</v>
      </c>
      <c r="T99" s="50">
        <v>96</v>
      </c>
      <c r="U99" s="51" t="s">
        <v>1688</v>
      </c>
    </row>
    <row r="100" spans="11:21" ht="15" x14ac:dyDescent="0.25">
      <c r="K100"/>
      <c r="Q100" s="18" t="s">
        <v>882</v>
      </c>
      <c r="R100" s="19" t="s">
        <v>1565</v>
      </c>
      <c r="T100" s="50">
        <v>97</v>
      </c>
      <c r="U100" s="51" t="s">
        <v>1688</v>
      </c>
    </row>
    <row r="101" spans="11:21" ht="15" x14ac:dyDescent="0.25">
      <c r="K101"/>
      <c r="Q101" s="18" t="s">
        <v>222</v>
      </c>
      <c r="R101" s="19" t="s">
        <v>1565</v>
      </c>
      <c r="T101" s="50">
        <v>98</v>
      </c>
      <c r="U101" s="51" t="s">
        <v>1688</v>
      </c>
    </row>
    <row r="102" spans="11:21" ht="15.75" thickBot="1" x14ac:dyDescent="0.3">
      <c r="K102"/>
      <c r="Q102" s="24" t="s">
        <v>920</v>
      </c>
      <c r="R102" s="25" t="s">
        <v>1565</v>
      </c>
      <c r="T102" s="50">
        <v>99</v>
      </c>
      <c r="U102" s="51" t="s">
        <v>1688</v>
      </c>
    </row>
    <row r="103" spans="11:21" ht="15.75" thickBot="1" x14ac:dyDescent="0.3">
      <c r="K103"/>
      <c r="T103" s="52">
        <v>100</v>
      </c>
      <c r="U103" s="53" t="s">
        <v>1688</v>
      </c>
    </row>
    <row r="104" spans="11:21" ht="15" x14ac:dyDescent="0.25">
      <c r="K104"/>
    </row>
    <row r="105" spans="11:21" ht="15" x14ac:dyDescent="0.25">
      <c r="K105"/>
    </row>
    <row r="106" spans="11:21" ht="15" x14ac:dyDescent="0.25">
      <c r="K106"/>
    </row>
    <row r="107" spans="11:21" ht="15" x14ac:dyDescent="0.25">
      <c r="K107"/>
    </row>
    <row r="108" spans="11:21" ht="15" x14ac:dyDescent="0.25">
      <c r="K108"/>
    </row>
    <row r="109" spans="11:21" ht="15" x14ac:dyDescent="0.25">
      <c r="K109"/>
    </row>
    <row r="110" spans="11:21" ht="15" x14ac:dyDescent="0.25">
      <c r="K110"/>
    </row>
    <row r="111" spans="11:21" ht="15" x14ac:dyDescent="0.25">
      <c r="K111"/>
    </row>
    <row r="112" spans="11:21" ht="15" x14ac:dyDescent="0.25">
      <c r="K112"/>
    </row>
    <row r="113" spans="11:11" ht="15" x14ac:dyDescent="0.25">
      <c r="K113"/>
    </row>
    <row r="114" spans="11:11" ht="15" x14ac:dyDescent="0.25">
      <c r="K114"/>
    </row>
    <row r="115" spans="11:11" ht="15" x14ac:dyDescent="0.25">
      <c r="K115"/>
    </row>
    <row r="116" spans="11:11" ht="15" x14ac:dyDescent="0.25">
      <c r="K116"/>
    </row>
    <row r="117" spans="11:11" ht="15" x14ac:dyDescent="0.25">
      <c r="K117"/>
    </row>
    <row r="118" spans="11:11" ht="15" x14ac:dyDescent="0.25">
      <c r="K118"/>
    </row>
    <row r="119" spans="11:11" ht="15" x14ac:dyDescent="0.25">
      <c r="K119"/>
    </row>
    <row r="120" spans="11:11" ht="15" x14ac:dyDescent="0.25">
      <c r="K120"/>
    </row>
    <row r="121" spans="11:11" ht="15" x14ac:dyDescent="0.25">
      <c r="K121"/>
    </row>
    <row r="122" spans="11:11" ht="15" x14ac:dyDescent="0.25">
      <c r="K122"/>
    </row>
    <row r="123" spans="11:11" ht="15" x14ac:dyDescent="0.25">
      <c r="K123"/>
    </row>
    <row r="124" spans="11:11" ht="15" x14ac:dyDescent="0.25">
      <c r="K124"/>
    </row>
    <row r="125" spans="11:11" ht="15" x14ac:dyDescent="0.25">
      <c r="K125"/>
    </row>
    <row r="126" spans="11:11" ht="15" x14ac:dyDescent="0.25">
      <c r="K126"/>
    </row>
    <row r="127" spans="11:11" ht="15" x14ac:dyDescent="0.25">
      <c r="K127"/>
    </row>
    <row r="128" spans="11:11" ht="15" x14ac:dyDescent="0.25">
      <c r="K128"/>
    </row>
    <row r="129" spans="11:11" ht="15" x14ac:dyDescent="0.25">
      <c r="K129"/>
    </row>
    <row r="130" spans="11:11" ht="15" x14ac:dyDescent="0.25">
      <c r="K130"/>
    </row>
    <row r="131" spans="11:11" ht="15" x14ac:dyDescent="0.25">
      <c r="K131"/>
    </row>
    <row r="132" spans="11:11" ht="15" x14ac:dyDescent="0.25">
      <c r="K132"/>
    </row>
    <row r="133" spans="11:11" ht="15" x14ac:dyDescent="0.25">
      <c r="K133"/>
    </row>
    <row r="134" spans="11:11" ht="15" x14ac:dyDescent="0.25">
      <c r="K134"/>
    </row>
    <row r="135" spans="11:11" ht="15" x14ac:dyDescent="0.25">
      <c r="K135"/>
    </row>
    <row r="136" spans="11:11" ht="15" x14ac:dyDescent="0.25">
      <c r="K136"/>
    </row>
    <row r="137" spans="11:11" ht="15" x14ac:dyDescent="0.25">
      <c r="K137"/>
    </row>
    <row r="138" spans="11:11" ht="15" x14ac:dyDescent="0.25">
      <c r="K138"/>
    </row>
    <row r="139" spans="11:11" ht="15" x14ac:dyDescent="0.25">
      <c r="K139"/>
    </row>
    <row r="140" spans="11:11" ht="15" x14ac:dyDescent="0.25">
      <c r="K140"/>
    </row>
    <row r="141" spans="11:11" ht="15" x14ac:dyDescent="0.25">
      <c r="K141"/>
    </row>
    <row r="142" spans="11:11" ht="15" x14ac:dyDescent="0.25">
      <c r="K142"/>
    </row>
    <row r="143" spans="11:11" ht="15" x14ac:dyDescent="0.25">
      <c r="K143"/>
    </row>
    <row r="144" spans="11:11" ht="15" x14ac:dyDescent="0.25">
      <c r="K144"/>
    </row>
    <row r="145" spans="11:11" ht="15" x14ac:dyDescent="0.25">
      <c r="K145"/>
    </row>
    <row r="146" spans="11:11" ht="15" x14ac:dyDescent="0.25">
      <c r="K146"/>
    </row>
    <row r="147" spans="11:11" ht="15" x14ac:dyDescent="0.25">
      <c r="K147"/>
    </row>
    <row r="148" spans="11:11" ht="15" x14ac:dyDescent="0.25">
      <c r="K148"/>
    </row>
    <row r="149" spans="11:11" ht="15" x14ac:dyDescent="0.25">
      <c r="K149"/>
    </row>
    <row r="150" spans="11:11" ht="15" x14ac:dyDescent="0.25">
      <c r="K150"/>
    </row>
    <row r="151" spans="11:11" ht="15" x14ac:dyDescent="0.25">
      <c r="K151"/>
    </row>
    <row r="152" spans="11:11" ht="15" x14ac:dyDescent="0.25">
      <c r="K152"/>
    </row>
    <row r="153" spans="11:11" ht="15" x14ac:dyDescent="0.25">
      <c r="K153"/>
    </row>
    <row r="154" spans="11:11" ht="15" x14ac:dyDescent="0.25">
      <c r="K154"/>
    </row>
    <row r="155" spans="11:11" ht="15" x14ac:dyDescent="0.25">
      <c r="K155"/>
    </row>
    <row r="156" spans="11:11" ht="15" x14ac:dyDescent="0.25">
      <c r="K156"/>
    </row>
    <row r="157" spans="11:11" ht="15" x14ac:dyDescent="0.25">
      <c r="K157"/>
    </row>
    <row r="158" spans="11:11" ht="15" x14ac:dyDescent="0.25">
      <c r="K158"/>
    </row>
    <row r="159" spans="11:11" ht="15" x14ac:dyDescent="0.25">
      <c r="K159"/>
    </row>
    <row r="160" spans="11:11" ht="15" x14ac:dyDescent="0.25">
      <c r="K160"/>
    </row>
    <row r="161" spans="11:11" ht="15" x14ac:dyDescent="0.25">
      <c r="K161"/>
    </row>
    <row r="162" spans="11:11" ht="15" x14ac:dyDescent="0.25">
      <c r="K162"/>
    </row>
    <row r="163" spans="11:11" ht="15" x14ac:dyDescent="0.25">
      <c r="K163"/>
    </row>
    <row r="164" spans="11:11" ht="15" x14ac:dyDescent="0.25">
      <c r="K164"/>
    </row>
    <row r="165" spans="11:11" ht="15" x14ac:dyDescent="0.25">
      <c r="K165"/>
    </row>
    <row r="166" spans="11:11" ht="15" x14ac:dyDescent="0.25">
      <c r="K166"/>
    </row>
    <row r="167" spans="11:11" ht="15" x14ac:dyDescent="0.25">
      <c r="K167"/>
    </row>
    <row r="168" spans="11:11" ht="15" x14ac:dyDescent="0.25">
      <c r="K168"/>
    </row>
    <row r="169" spans="11:11" ht="15" x14ac:dyDescent="0.25">
      <c r="K169"/>
    </row>
    <row r="170" spans="11:11" ht="15" x14ac:dyDescent="0.25">
      <c r="K170"/>
    </row>
    <row r="171" spans="11:11" ht="15" x14ac:dyDescent="0.25">
      <c r="K171"/>
    </row>
    <row r="172" spans="11:11" ht="15" x14ac:dyDescent="0.25">
      <c r="K172"/>
    </row>
    <row r="173" spans="11:11" ht="15" x14ac:dyDescent="0.25">
      <c r="K173"/>
    </row>
    <row r="174" spans="11:11" ht="15" x14ac:dyDescent="0.25">
      <c r="K174"/>
    </row>
    <row r="175" spans="11:11" ht="15" x14ac:dyDescent="0.25">
      <c r="K175"/>
    </row>
    <row r="176" spans="11:11" ht="15" x14ac:dyDescent="0.25">
      <c r="K176"/>
    </row>
    <row r="177" spans="11:11" ht="15" x14ac:dyDescent="0.25">
      <c r="K177"/>
    </row>
    <row r="178" spans="11:11" ht="15" x14ac:dyDescent="0.25">
      <c r="K178"/>
    </row>
    <row r="179" spans="11:11" ht="15" x14ac:dyDescent="0.25">
      <c r="K179"/>
    </row>
    <row r="180" spans="11:11" ht="15" x14ac:dyDescent="0.25">
      <c r="K180"/>
    </row>
    <row r="181" spans="11:11" ht="15" x14ac:dyDescent="0.25">
      <c r="K181"/>
    </row>
    <row r="182" spans="11:11" ht="15" x14ac:dyDescent="0.25">
      <c r="K182"/>
    </row>
    <row r="183" spans="11:11" ht="15" x14ac:dyDescent="0.25">
      <c r="K183"/>
    </row>
    <row r="184" spans="11:11" ht="15" x14ac:dyDescent="0.25">
      <c r="K184"/>
    </row>
    <row r="185" spans="11:11" ht="15" x14ac:dyDescent="0.25">
      <c r="K185"/>
    </row>
    <row r="186" spans="11:11" ht="15" x14ac:dyDescent="0.25">
      <c r="K186"/>
    </row>
    <row r="187" spans="11:11" ht="15" x14ac:dyDescent="0.25">
      <c r="K187"/>
    </row>
    <row r="188" spans="11:11" ht="15" x14ac:dyDescent="0.25">
      <c r="K188"/>
    </row>
    <row r="189" spans="11:11" ht="15" x14ac:dyDescent="0.25">
      <c r="K189"/>
    </row>
    <row r="190" spans="11:11" ht="15" x14ac:dyDescent="0.25">
      <c r="K190"/>
    </row>
    <row r="191" spans="11:11" ht="15" x14ac:dyDescent="0.25">
      <c r="K191"/>
    </row>
    <row r="192" spans="11:11" ht="15" x14ac:dyDescent="0.25">
      <c r="K192"/>
    </row>
    <row r="193" spans="11:11" ht="15" x14ac:dyDescent="0.25">
      <c r="K193"/>
    </row>
    <row r="194" spans="11:11" ht="15" x14ac:dyDescent="0.25">
      <c r="K194"/>
    </row>
    <row r="195" spans="11:11" ht="15" x14ac:dyDescent="0.25">
      <c r="K195"/>
    </row>
    <row r="196" spans="11:11" ht="15" x14ac:dyDescent="0.25">
      <c r="K196"/>
    </row>
    <row r="197" spans="11:11" ht="15" x14ac:dyDescent="0.25">
      <c r="K197"/>
    </row>
    <row r="198" spans="11:11" ht="15" x14ac:dyDescent="0.25">
      <c r="K198"/>
    </row>
    <row r="199" spans="11:11" ht="15" x14ac:dyDescent="0.25">
      <c r="K199"/>
    </row>
    <row r="200" spans="11:11" ht="15" x14ac:dyDescent="0.25">
      <c r="K200"/>
    </row>
    <row r="201" spans="11:11" ht="15" x14ac:dyDescent="0.25">
      <c r="K201"/>
    </row>
    <row r="202" spans="11:11" ht="15" x14ac:dyDescent="0.25">
      <c r="K202"/>
    </row>
    <row r="203" spans="11:11" ht="15" x14ac:dyDescent="0.25">
      <c r="K203"/>
    </row>
    <row r="204" spans="11:11" ht="15" x14ac:dyDescent="0.25">
      <c r="K204"/>
    </row>
    <row r="205" spans="11:11" ht="15" x14ac:dyDescent="0.25">
      <c r="K205"/>
    </row>
    <row r="206" spans="11:11" ht="15" x14ac:dyDescent="0.25">
      <c r="K206"/>
    </row>
    <row r="207" spans="11:11" ht="15" x14ac:dyDescent="0.25">
      <c r="K207"/>
    </row>
    <row r="208" spans="11:11" ht="15" x14ac:dyDescent="0.25">
      <c r="K208"/>
    </row>
    <row r="209" spans="11:11" ht="15" x14ac:dyDescent="0.25">
      <c r="K209"/>
    </row>
    <row r="210" spans="11:11" ht="15" x14ac:dyDescent="0.25">
      <c r="K210"/>
    </row>
    <row r="211" spans="11:11" ht="15" x14ac:dyDescent="0.25">
      <c r="K211"/>
    </row>
    <row r="212" spans="11:11" ht="15" x14ac:dyDescent="0.25">
      <c r="K212"/>
    </row>
    <row r="213" spans="11:11" ht="15" x14ac:dyDescent="0.25">
      <c r="K213"/>
    </row>
    <row r="214" spans="11:11" ht="15" x14ac:dyDescent="0.25">
      <c r="K214"/>
    </row>
    <row r="215" spans="11:11" ht="15" x14ac:dyDescent="0.25">
      <c r="K215"/>
    </row>
    <row r="216" spans="11:11" ht="15" x14ac:dyDescent="0.25">
      <c r="K216"/>
    </row>
    <row r="217" spans="11:11" ht="15" x14ac:dyDescent="0.25">
      <c r="K217"/>
    </row>
    <row r="218" spans="11:11" ht="15" x14ac:dyDescent="0.25">
      <c r="K218"/>
    </row>
    <row r="219" spans="11:11" ht="15" x14ac:dyDescent="0.25">
      <c r="K219"/>
    </row>
    <row r="220" spans="11:11" ht="15" x14ac:dyDescent="0.25">
      <c r="K220"/>
    </row>
    <row r="221" spans="11:11" ht="15" x14ac:dyDescent="0.25">
      <c r="K221"/>
    </row>
    <row r="222" spans="11:11" ht="15" x14ac:dyDescent="0.25">
      <c r="K222"/>
    </row>
    <row r="223" spans="11:11" ht="15" x14ac:dyDescent="0.25">
      <c r="K223"/>
    </row>
    <row r="224" spans="11:11" ht="15" x14ac:dyDescent="0.25">
      <c r="K224"/>
    </row>
    <row r="225" spans="11:11" ht="15" x14ac:dyDescent="0.25">
      <c r="K225"/>
    </row>
    <row r="226" spans="11:11" ht="15" x14ac:dyDescent="0.25">
      <c r="K226"/>
    </row>
    <row r="227" spans="11:11" ht="15" x14ac:dyDescent="0.25">
      <c r="K227"/>
    </row>
    <row r="228" spans="11:11" ht="15" x14ac:dyDescent="0.25">
      <c r="K228"/>
    </row>
    <row r="229" spans="11:11" ht="15" x14ac:dyDescent="0.25">
      <c r="K229"/>
    </row>
    <row r="230" spans="11:11" ht="15" x14ac:dyDescent="0.25">
      <c r="K230"/>
    </row>
    <row r="231" spans="11:11" ht="15" x14ac:dyDescent="0.25">
      <c r="K231"/>
    </row>
    <row r="232" spans="11:11" ht="15" x14ac:dyDescent="0.25">
      <c r="K232"/>
    </row>
    <row r="233" spans="11:11" ht="15" x14ac:dyDescent="0.25">
      <c r="K233"/>
    </row>
    <row r="234" spans="11:11" ht="15" x14ac:dyDescent="0.25">
      <c r="K234"/>
    </row>
    <row r="235" spans="11:11" ht="15" x14ac:dyDescent="0.25">
      <c r="K235"/>
    </row>
    <row r="236" spans="11:11" ht="15" x14ac:dyDescent="0.25">
      <c r="K236"/>
    </row>
    <row r="237" spans="11:11" ht="15" x14ac:dyDescent="0.25">
      <c r="K237"/>
    </row>
    <row r="238" spans="11:11" ht="15" x14ac:dyDescent="0.25">
      <c r="K238"/>
    </row>
    <row r="239" spans="11:11" ht="15" x14ac:dyDescent="0.25">
      <c r="K239"/>
    </row>
    <row r="240" spans="11:11" ht="15" x14ac:dyDescent="0.25">
      <c r="K240"/>
    </row>
    <row r="241" spans="11:11" ht="15" x14ac:dyDescent="0.25">
      <c r="K241"/>
    </row>
    <row r="242" spans="11:11" ht="15" x14ac:dyDescent="0.25">
      <c r="K242"/>
    </row>
    <row r="243" spans="11:11" ht="15" x14ac:dyDescent="0.25">
      <c r="K243"/>
    </row>
    <row r="244" spans="11:11" ht="15" x14ac:dyDescent="0.25">
      <c r="K244"/>
    </row>
    <row r="245" spans="11:11" ht="15" x14ac:dyDescent="0.25">
      <c r="K245"/>
    </row>
    <row r="246" spans="11:11" ht="15" x14ac:dyDescent="0.25">
      <c r="K246"/>
    </row>
    <row r="247" spans="11:11" ht="15" x14ac:dyDescent="0.25">
      <c r="K247"/>
    </row>
    <row r="248" spans="11:11" ht="15" x14ac:dyDescent="0.25">
      <c r="K248"/>
    </row>
    <row r="249" spans="11:11" ht="15" x14ac:dyDescent="0.25">
      <c r="K249"/>
    </row>
    <row r="250" spans="11:11" ht="15" x14ac:dyDescent="0.25">
      <c r="K250"/>
    </row>
    <row r="251" spans="11:11" ht="15" x14ac:dyDescent="0.25">
      <c r="K251"/>
    </row>
    <row r="252" spans="11:11" ht="15" x14ac:dyDescent="0.25">
      <c r="K252"/>
    </row>
    <row r="253" spans="11:11" ht="15" x14ac:dyDescent="0.25">
      <c r="K253"/>
    </row>
    <row r="254" spans="11:11" ht="15" x14ac:dyDescent="0.25">
      <c r="K254"/>
    </row>
    <row r="255" spans="11:11" ht="15" x14ac:dyDescent="0.25">
      <c r="K255"/>
    </row>
    <row r="256" spans="11:11" ht="15" x14ac:dyDescent="0.25">
      <c r="K256"/>
    </row>
    <row r="257" spans="11:11" ht="15" x14ac:dyDescent="0.25">
      <c r="K257"/>
    </row>
    <row r="258" spans="11:11" ht="15" x14ac:dyDescent="0.25">
      <c r="K258"/>
    </row>
    <row r="259" spans="11:11" ht="15" x14ac:dyDescent="0.25">
      <c r="K259"/>
    </row>
    <row r="260" spans="11:11" ht="15" x14ac:dyDescent="0.25">
      <c r="K260"/>
    </row>
    <row r="261" spans="11:11" ht="15" x14ac:dyDescent="0.25">
      <c r="K261"/>
    </row>
    <row r="262" spans="11:11" ht="15" x14ac:dyDescent="0.25">
      <c r="K262"/>
    </row>
    <row r="263" spans="11:11" ht="15" x14ac:dyDescent="0.25">
      <c r="K263"/>
    </row>
    <row r="264" spans="11:11" ht="15" x14ac:dyDescent="0.25">
      <c r="K264"/>
    </row>
    <row r="265" spans="11:11" ht="15" x14ac:dyDescent="0.25">
      <c r="K265"/>
    </row>
    <row r="266" spans="11:11" ht="15" x14ac:dyDescent="0.25">
      <c r="K266"/>
    </row>
    <row r="267" spans="11:11" ht="15" x14ac:dyDescent="0.25">
      <c r="K267"/>
    </row>
    <row r="268" spans="11:11" ht="15" x14ac:dyDescent="0.25">
      <c r="K268"/>
    </row>
    <row r="269" spans="11:11" ht="15" x14ac:dyDescent="0.25">
      <c r="K269"/>
    </row>
    <row r="270" spans="11:11" ht="15" x14ac:dyDescent="0.25">
      <c r="K270"/>
    </row>
    <row r="271" spans="11:11" ht="15" x14ac:dyDescent="0.25">
      <c r="K271"/>
    </row>
    <row r="272" spans="11:11" ht="15" x14ac:dyDescent="0.25">
      <c r="K272"/>
    </row>
    <row r="273" spans="11:11" ht="15" x14ac:dyDescent="0.25">
      <c r="K273"/>
    </row>
  </sheetData>
  <sortState xmlns:xlrd2="http://schemas.microsoft.com/office/spreadsheetml/2017/richdata2" ref="Q3:Q102">
    <sortCondition ref="Q2:Q102"/>
  </sortState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CF95F-E952-4010-8D83-AAA57A006C54}">
  <dimension ref="A1:B102"/>
  <sheetViews>
    <sheetView workbookViewId="0">
      <selection activeCell="F15" sqref="F15"/>
    </sheetView>
  </sheetViews>
  <sheetFormatPr defaultRowHeight="15" x14ac:dyDescent="0.25"/>
  <cols>
    <col min="1" max="1" width="17.5703125" style="26" bestFit="1" customWidth="1"/>
    <col min="2" max="2" width="18.7109375" style="26" bestFit="1" customWidth="1"/>
  </cols>
  <sheetData>
    <row r="1" spans="1:2" x14ac:dyDescent="0.25">
      <c r="A1" s="72" t="s">
        <v>18</v>
      </c>
      <c r="B1" s="73" t="s">
        <v>1558</v>
      </c>
    </row>
    <row r="2" spans="1:2" x14ac:dyDescent="0.25">
      <c r="A2" s="50">
        <v>0</v>
      </c>
      <c r="B2" s="51" t="s">
        <v>1643</v>
      </c>
    </row>
    <row r="3" spans="1:2" x14ac:dyDescent="0.25">
      <c r="A3" s="50">
        <v>1</v>
      </c>
      <c r="B3" s="51" t="s">
        <v>1643</v>
      </c>
    </row>
    <row r="4" spans="1:2" x14ac:dyDescent="0.25">
      <c r="A4" s="50">
        <v>2</v>
      </c>
      <c r="B4" s="51" t="s">
        <v>1643</v>
      </c>
    </row>
    <row r="5" spans="1:2" x14ac:dyDescent="0.25">
      <c r="A5" s="50">
        <v>3</v>
      </c>
      <c r="B5" s="51" t="s">
        <v>1643</v>
      </c>
    </row>
    <row r="6" spans="1:2" x14ac:dyDescent="0.25">
      <c r="A6" s="50">
        <v>4</v>
      </c>
      <c r="B6" s="51" t="s">
        <v>1643</v>
      </c>
    </row>
    <row r="7" spans="1:2" x14ac:dyDescent="0.25">
      <c r="A7" s="50">
        <v>5</v>
      </c>
      <c r="B7" s="51" t="s">
        <v>1643</v>
      </c>
    </row>
    <row r="8" spans="1:2" x14ac:dyDescent="0.25">
      <c r="A8" s="50">
        <v>6</v>
      </c>
      <c r="B8" s="51" t="s">
        <v>1643</v>
      </c>
    </row>
    <row r="9" spans="1:2" x14ac:dyDescent="0.25">
      <c r="A9" s="50">
        <v>7</v>
      </c>
      <c r="B9" s="51" t="s">
        <v>1643</v>
      </c>
    </row>
    <row r="10" spans="1:2" x14ac:dyDescent="0.25">
      <c r="A10" s="50">
        <v>8</v>
      </c>
      <c r="B10" s="51" t="s">
        <v>1643</v>
      </c>
    </row>
    <row r="11" spans="1:2" x14ac:dyDescent="0.25">
      <c r="A11" s="50">
        <v>9</v>
      </c>
      <c r="B11" s="51" t="s">
        <v>1643</v>
      </c>
    </row>
    <row r="12" spans="1:2" x14ac:dyDescent="0.25">
      <c r="A12" s="50">
        <v>10</v>
      </c>
      <c r="B12" s="51" t="s">
        <v>1643</v>
      </c>
    </row>
    <row r="13" spans="1:2" x14ac:dyDescent="0.25">
      <c r="A13" s="50">
        <v>11</v>
      </c>
      <c r="B13" s="51" t="s">
        <v>1643</v>
      </c>
    </row>
    <row r="14" spans="1:2" x14ac:dyDescent="0.25">
      <c r="A14" s="50">
        <v>12</v>
      </c>
      <c r="B14" s="51" t="s">
        <v>1643</v>
      </c>
    </row>
    <row r="15" spans="1:2" x14ac:dyDescent="0.25">
      <c r="A15" s="50">
        <v>13</v>
      </c>
      <c r="B15" s="51" t="s">
        <v>1643</v>
      </c>
    </row>
    <row r="16" spans="1:2" x14ac:dyDescent="0.25">
      <c r="A16" s="50">
        <v>14</v>
      </c>
      <c r="B16" s="51" t="s">
        <v>1643</v>
      </c>
    </row>
    <row r="17" spans="1:2" x14ac:dyDescent="0.25">
      <c r="A17" s="50">
        <v>15</v>
      </c>
      <c r="B17" s="51" t="s">
        <v>1643</v>
      </c>
    </row>
    <row r="18" spans="1:2" x14ac:dyDescent="0.25">
      <c r="A18" s="50">
        <v>16</v>
      </c>
      <c r="B18" s="51" t="s">
        <v>1643</v>
      </c>
    </row>
    <row r="19" spans="1:2" x14ac:dyDescent="0.25">
      <c r="A19" s="50">
        <v>17</v>
      </c>
      <c r="B19" s="51" t="s">
        <v>1643</v>
      </c>
    </row>
    <row r="20" spans="1:2" x14ac:dyDescent="0.25">
      <c r="A20" s="50">
        <v>18</v>
      </c>
      <c r="B20" s="51" t="s">
        <v>1643</v>
      </c>
    </row>
    <row r="21" spans="1:2" x14ac:dyDescent="0.25">
      <c r="A21" s="50">
        <v>19</v>
      </c>
      <c r="B21" s="51" t="s">
        <v>1643</v>
      </c>
    </row>
    <row r="22" spans="1:2" x14ac:dyDescent="0.25">
      <c r="A22" s="50">
        <v>20</v>
      </c>
      <c r="B22" s="51" t="s">
        <v>1643</v>
      </c>
    </row>
    <row r="23" spans="1:2" x14ac:dyDescent="0.25">
      <c r="A23" s="50">
        <v>21</v>
      </c>
      <c r="B23" s="51" t="s">
        <v>1643</v>
      </c>
    </row>
    <row r="24" spans="1:2" x14ac:dyDescent="0.25">
      <c r="A24" s="50">
        <v>22</v>
      </c>
      <c r="B24" s="51" t="s">
        <v>1643</v>
      </c>
    </row>
    <row r="25" spans="1:2" x14ac:dyDescent="0.25">
      <c r="A25" s="50">
        <v>23</v>
      </c>
      <c r="B25" s="51" t="s">
        <v>1643</v>
      </c>
    </row>
    <row r="26" spans="1:2" x14ac:dyDescent="0.25">
      <c r="A26" s="50">
        <v>24</v>
      </c>
      <c r="B26" s="51" t="s">
        <v>1643</v>
      </c>
    </row>
    <row r="27" spans="1:2" x14ac:dyDescent="0.25">
      <c r="A27" s="50">
        <v>25</v>
      </c>
      <c r="B27" s="51" t="s">
        <v>1643</v>
      </c>
    </row>
    <row r="28" spans="1:2" x14ac:dyDescent="0.25">
      <c r="A28" s="50">
        <v>26</v>
      </c>
      <c r="B28" s="51" t="s">
        <v>1643</v>
      </c>
    </row>
    <row r="29" spans="1:2" x14ac:dyDescent="0.25">
      <c r="A29" s="50">
        <v>27</v>
      </c>
      <c r="B29" s="51" t="s">
        <v>1643</v>
      </c>
    </row>
    <row r="30" spans="1:2" x14ac:dyDescent="0.25">
      <c r="A30" s="50">
        <v>28</v>
      </c>
      <c r="B30" s="51" t="s">
        <v>1643</v>
      </c>
    </row>
    <row r="31" spans="1:2" x14ac:dyDescent="0.25">
      <c r="A31" s="50">
        <v>29</v>
      </c>
      <c r="B31" s="51" t="s">
        <v>1643</v>
      </c>
    </row>
    <row r="32" spans="1:2" x14ac:dyDescent="0.25">
      <c r="A32" s="50">
        <v>30</v>
      </c>
      <c r="B32" s="51" t="s">
        <v>1680</v>
      </c>
    </row>
    <row r="33" spans="1:2" x14ac:dyDescent="0.25">
      <c r="A33" s="50">
        <v>31</v>
      </c>
      <c r="B33" s="51" t="s">
        <v>1680</v>
      </c>
    </row>
    <row r="34" spans="1:2" x14ac:dyDescent="0.25">
      <c r="A34" s="50">
        <v>32</v>
      </c>
      <c r="B34" s="51" t="s">
        <v>1680</v>
      </c>
    </row>
    <row r="35" spans="1:2" x14ac:dyDescent="0.25">
      <c r="A35" s="50">
        <v>33</v>
      </c>
      <c r="B35" s="51" t="s">
        <v>1680</v>
      </c>
    </row>
    <row r="36" spans="1:2" x14ac:dyDescent="0.25">
      <c r="A36" s="50">
        <v>34</v>
      </c>
      <c r="B36" s="51" t="s">
        <v>1680</v>
      </c>
    </row>
    <row r="37" spans="1:2" x14ac:dyDescent="0.25">
      <c r="A37" s="50">
        <v>35</v>
      </c>
      <c r="B37" s="51" t="s">
        <v>1680</v>
      </c>
    </row>
    <row r="38" spans="1:2" x14ac:dyDescent="0.25">
      <c r="A38" s="50">
        <v>36</v>
      </c>
      <c r="B38" s="51" t="s">
        <v>1680</v>
      </c>
    </row>
    <row r="39" spans="1:2" x14ac:dyDescent="0.25">
      <c r="A39" s="50">
        <v>37</v>
      </c>
      <c r="B39" s="51" t="s">
        <v>1680</v>
      </c>
    </row>
    <row r="40" spans="1:2" x14ac:dyDescent="0.25">
      <c r="A40" s="50">
        <v>38</v>
      </c>
      <c r="B40" s="51" t="s">
        <v>1680</v>
      </c>
    </row>
    <row r="41" spans="1:2" x14ac:dyDescent="0.25">
      <c r="A41" s="50">
        <v>39</v>
      </c>
      <c r="B41" s="51" t="s">
        <v>1680</v>
      </c>
    </row>
    <row r="42" spans="1:2" x14ac:dyDescent="0.25">
      <c r="A42" s="50">
        <v>40</v>
      </c>
      <c r="B42" s="51" t="s">
        <v>1680</v>
      </c>
    </row>
    <row r="43" spans="1:2" x14ac:dyDescent="0.25">
      <c r="A43" s="50">
        <v>41</v>
      </c>
      <c r="B43" s="51" t="s">
        <v>1680</v>
      </c>
    </row>
    <row r="44" spans="1:2" x14ac:dyDescent="0.25">
      <c r="A44" s="50">
        <v>42</v>
      </c>
      <c r="B44" s="51" t="s">
        <v>1680</v>
      </c>
    </row>
    <row r="45" spans="1:2" x14ac:dyDescent="0.25">
      <c r="A45" s="50">
        <v>43</v>
      </c>
      <c r="B45" s="51" t="s">
        <v>1680</v>
      </c>
    </row>
    <row r="46" spans="1:2" x14ac:dyDescent="0.25">
      <c r="A46" s="50">
        <v>44</v>
      </c>
      <c r="B46" s="51" t="s">
        <v>1680</v>
      </c>
    </row>
    <row r="47" spans="1:2" x14ac:dyDescent="0.25">
      <c r="A47" s="50">
        <v>45</v>
      </c>
      <c r="B47" s="51" t="s">
        <v>1680</v>
      </c>
    </row>
    <row r="48" spans="1:2" x14ac:dyDescent="0.25">
      <c r="A48" s="50">
        <v>46</v>
      </c>
      <c r="B48" s="51" t="s">
        <v>1680</v>
      </c>
    </row>
    <row r="49" spans="1:2" x14ac:dyDescent="0.25">
      <c r="A49" s="50">
        <v>47</v>
      </c>
      <c r="B49" s="51" t="s">
        <v>1680</v>
      </c>
    </row>
    <row r="50" spans="1:2" x14ac:dyDescent="0.25">
      <c r="A50" s="50">
        <v>48</v>
      </c>
      <c r="B50" s="51" t="s">
        <v>1680</v>
      </c>
    </row>
    <row r="51" spans="1:2" x14ac:dyDescent="0.25">
      <c r="A51" s="50">
        <v>49</v>
      </c>
      <c r="B51" s="51" t="s">
        <v>1680</v>
      </c>
    </row>
    <row r="52" spans="1:2" x14ac:dyDescent="0.25">
      <c r="A52" s="50">
        <v>50</v>
      </c>
      <c r="B52" s="51" t="s">
        <v>1686</v>
      </c>
    </row>
    <row r="53" spans="1:2" x14ac:dyDescent="0.25">
      <c r="A53" s="50">
        <v>51</v>
      </c>
      <c r="B53" s="51" t="s">
        <v>1686</v>
      </c>
    </row>
    <row r="54" spans="1:2" x14ac:dyDescent="0.25">
      <c r="A54" s="50">
        <v>52</v>
      </c>
      <c r="B54" s="51" t="s">
        <v>1686</v>
      </c>
    </row>
    <row r="55" spans="1:2" x14ac:dyDescent="0.25">
      <c r="A55" s="50">
        <v>53</v>
      </c>
      <c r="B55" s="51" t="s">
        <v>1686</v>
      </c>
    </row>
    <row r="56" spans="1:2" x14ac:dyDescent="0.25">
      <c r="A56" s="50">
        <v>54</v>
      </c>
      <c r="B56" s="51" t="s">
        <v>1686</v>
      </c>
    </row>
    <row r="57" spans="1:2" x14ac:dyDescent="0.25">
      <c r="A57" s="50">
        <v>55</v>
      </c>
      <c r="B57" s="51" t="s">
        <v>1686</v>
      </c>
    </row>
    <row r="58" spans="1:2" x14ac:dyDescent="0.25">
      <c r="A58" s="50">
        <v>56</v>
      </c>
      <c r="B58" s="51" t="s">
        <v>1686</v>
      </c>
    </row>
    <row r="59" spans="1:2" x14ac:dyDescent="0.25">
      <c r="A59" s="50">
        <v>57</v>
      </c>
      <c r="B59" s="51" t="s">
        <v>1686</v>
      </c>
    </row>
    <row r="60" spans="1:2" x14ac:dyDescent="0.25">
      <c r="A60" s="50">
        <v>58</v>
      </c>
      <c r="B60" s="51" t="s">
        <v>1686</v>
      </c>
    </row>
    <row r="61" spans="1:2" x14ac:dyDescent="0.25">
      <c r="A61" s="50">
        <v>59</v>
      </c>
      <c r="B61" s="51" t="s">
        <v>1686</v>
      </c>
    </row>
    <row r="62" spans="1:2" x14ac:dyDescent="0.25">
      <c r="A62" s="50">
        <v>60</v>
      </c>
      <c r="B62" s="51" t="s">
        <v>1686</v>
      </c>
    </row>
    <row r="63" spans="1:2" x14ac:dyDescent="0.25">
      <c r="A63" s="50">
        <v>61</v>
      </c>
      <c r="B63" s="51" t="s">
        <v>1686</v>
      </c>
    </row>
    <row r="64" spans="1:2" x14ac:dyDescent="0.25">
      <c r="A64" s="50">
        <v>62</v>
      </c>
      <c r="B64" s="51" t="s">
        <v>1686</v>
      </c>
    </row>
    <row r="65" spans="1:2" x14ac:dyDescent="0.25">
      <c r="A65" s="50">
        <v>63</v>
      </c>
      <c r="B65" s="51" t="s">
        <v>1686</v>
      </c>
    </row>
    <row r="66" spans="1:2" x14ac:dyDescent="0.25">
      <c r="A66" s="50">
        <v>64</v>
      </c>
      <c r="B66" s="51" t="s">
        <v>1686</v>
      </c>
    </row>
    <row r="67" spans="1:2" x14ac:dyDescent="0.25">
      <c r="A67" s="50">
        <v>65</v>
      </c>
      <c r="B67" s="51" t="s">
        <v>1686</v>
      </c>
    </row>
    <row r="68" spans="1:2" x14ac:dyDescent="0.25">
      <c r="A68" s="50">
        <v>66</v>
      </c>
      <c r="B68" s="51" t="s">
        <v>1686</v>
      </c>
    </row>
    <row r="69" spans="1:2" x14ac:dyDescent="0.25">
      <c r="A69" s="50">
        <v>67</v>
      </c>
      <c r="B69" s="51" t="s">
        <v>1686</v>
      </c>
    </row>
    <row r="70" spans="1:2" x14ac:dyDescent="0.25">
      <c r="A70" s="50">
        <v>68</v>
      </c>
      <c r="B70" s="51" t="s">
        <v>1686</v>
      </c>
    </row>
    <row r="71" spans="1:2" x14ac:dyDescent="0.25">
      <c r="A71" s="50">
        <v>69</v>
      </c>
      <c r="B71" s="51" t="s">
        <v>1686</v>
      </c>
    </row>
    <row r="72" spans="1:2" x14ac:dyDescent="0.25">
      <c r="A72" s="50">
        <v>70</v>
      </c>
      <c r="B72" s="51" t="s">
        <v>1687</v>
      </c>
    </row>
    <row r="73" spans="1:2" x14ac:dyDescent="0.25">
      <c r="A73" s="50">
        <v>71</v>
      </c>
      <c r="B73" s="51" t="s">
        <v>1687</v>
      </c>
    </row>
    <row r="74" spans="1:2" x14ac:dyDescent="0.25">
      <c r="A74" s="50">
        <v>72</v>
      </c>
      <c r="B74" s="51" t="s">
        <v>1687</v>
      </c>
    </row>
    <row r="75" spans="1:2" x14ac:dyDescent="0.25">
      <c r="A75" s="50">
        <v>73</v>
      </c>
      <c r="B75" s="51" t="s">
        <v>1687</v>
      </c>
    </row>
    <row r="76" spans="1:2" x14ac:dyDescent="0.25">
      <c r="A76" s="50">
        <v>74</v>
      </c>
      <c r="B76" s="51" t="s">
        <v>1687</v>
      </c>
    </row>
    <row r="77" spans="1:2" x14ac:dyDescent="0.25">
      <c r="A77" s="50">
        <v>75</v>
      </c>
      <c r="B77" s="51" t="s">
        <v>1687</v>
      </c>
    </row>
    <row r="78" spans="1:2" x14ac:dyDescent="0.25">
      <c r="A78" s="50">
        <v>76</v>
      </c>
      <c r="B78" s="51" t="s">
        <v>1687</v>
      </c>
    </row>
    <row r="79" spans="1:2" x14ac:dyDescent="0.25">
      <c r="A79" s="50">
        <v>77</v>
      </c>
      <c r="B79" s="51" t="s">
        <v>1687</v>
      </c>
    </row>
    <row r="80" spans="1:2" x14ac:dyDescent="0.25">
      <c r="A80" s="50">
        <v>78</v>
      </c>
      <c r="B80" s="51" t="s">
        <v>1687</v>
      </c>
    </row>
    <row r="81" spans="1:2" x14ac:dyDescent="0.25">
      <c r="A81" s="50">
        <v>79</v>
      </c>
      <c r="B81" s="51" t="s">
        <v>1687</v>
      </c>
    </row>
    <row r="82" spans="1:2" x14ac:dyDescent="0.25">
      <c r="A82" s="50">
        <v>80</v>
      </c>
      <c r="B82" s="51" t="s">
        <v>1688</v>
      </c>
    </row>
    <row r="83" spans="1:2" x14ac:dyDescent="0.25">
      <c r="A83" s="50">
        <v>81</v>
      </c>
      <c r="B83" s="51" t="s">
        <v>1688</v>
      </c>
    </row>
    <row r="84" spans="1:2" x14ac:dyDescent="0.25">
      <c r="A84" s="50">
        <v>82</v>
      </c>
      <c r="B84" s="51" t="s">
        <v>1688</v>
      </c>
    </row>
    <row r="85" spans="1:2" x14ac:dyDescent="0.25">
      <c r="A85" s="50">
        <v>83</v>
      </c>
      <c r="B85" s="51" t="s">
        <v>1688</v>
      </c>
    </row>
    <row r="86" spans="1:2" x14ac:dyDescent="0.25">
      <c r="A86" s="50">
        <v>84</v>
      </c>
      <c r="B86" s="51" t="s">
        <v>1688</v>
      </c>
    </row>
    <row r="87" spans="1:2" x14ac:dyDescent="0.25">
      <c r="A87" s="50">
        <v>85</v>
      </c>
      <c r="B87" s="51" t="s">
        <v>1688</v>
      </c>
    </row>
    <row r="88" spans="1:2" x14ac:dyDescent="0.25">
      <c r="A88" s="50">
        <v>86</v>
      </c>
      <c r="B88" s="51" t="s">
        <v>1688</v>
      </c>
    </row>
    <row r="89" spans="1:2" x14ac:dyDescent="0.25">
      <c r="A89" s="50">
        <v>87</v>
      </c>
      <c r="B89" s="51" t="s">
        <v>1688</v>
      </c>
    </row>
    <row r="90" spans="1:2" x14ac:dyDescent="0.25">
      <c r="A90" s="50">
        <v>88</v>
      </c>
      <c r="B90" s="51" t="s">
        <v>1688</v>
      </c>
    </row>
    <row r="91" spans="1:2" x14ac:dyDescent="0.25">
      <c r="A91" s="50">
        <v>89</v>
      </c>
      <c r="B91" s="51" t="s">
        <v>1688</v>
      </c>
    </row>
    <row r="92" spans="1:2" x14ac:dyDescent="0.25">
      <c r="A92" s="50">
        <v>90</v>
      </c>
      <c r="B92" s="51" t="s">
        <v>1688</v>
      </c>
    </row>
    <row r="93" spans="1:2" x14ac:dyDescent="0.25">
      <c r="A93" s="50">
        <v>91</v>
      </c>
      <c r="B93" s="51" t="s">
        <v>1688</v>
      </c>
    </row>
    <row r="94" spans="1:2" x14ac:dyDescent="0.25">
      <c r="A94" s="50">
        <v>92</v>
      </c>
      <c r="B94" s="51" t="s">
        <v>1688</v>
      </c>
    </row>
    <row r="95" spans="1:2" x14ac:dyDescent="0.25">
      <c r="A95" s="50">
        <v>93</v>
      </c>
      <c r="B95" s="51" t="s">
        <v>1688</v>
      </c>
    </row>
    <row r="96" spans="1:2" x14ac:dyDescent="0.25">
      <c r="A96" s="50">
        <v>94</v>
      </c>
      <c r="B96" s="51" t="s">
        <v>1688</v>
      </c>
    </row>
    <row r="97" spans="1:2" x14ac:dyDescent="0.25">
      <c r="A97" s="50">
        <v>95</v>
      </c>
      <c r="B97" s="51" t="s">
        <v>1688</v>
      </c>
    </row>
    <row r="98" spans="1:2" x14ac:dyDescent="0.25">
      <c r="A98" s="50">
        <v>96</v>
      </c>
      <c r="B98" s="51" t="s">
        <v>1688</v>
      </c>
    </row>
    <row r="99" spans="1:2" x14ac:dyDescent="0.25">
      <c r="A99" s="50">
        <v>97</v>
      </c>
      <c r="B99" s="51" t="s">
        <v>1688</v>
      </c>
    </row>
    <row r="100" spans="1:2" x14ac:dyDescent="0.25">
      <c r="A100" s="50">
        <v>98</v>
      </c>
      <c r="B100" s="51" t="s">
        <v>1688</v>
      </c>
    </row>
    <row r="101" spans="1:2" x14ac:dyDescent="0.25">
      <c r="A101" s="50">
        <v>99</v>
      </c>
      <c r="B101" s="51" t="s">
        <v>1688</v>
      </c>
    </row>
    <row r="102" spans="1:2" ht="15.75" thickBot="1" x14ac:dyDescent="0.3">
      <c r="A102" s="52">
        <v>100</v>
      </c>
      <c r="B102" s="53" t="s">
        <v>1688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EE4CB-911C-4093-AA50-784A4EE00B06}">
  <dimension ref="A1:B101"/>
  <sheetViews>
    <sheetView workbookViewId="0">
      <selection activeCell="F15" sqref="F15"/>
    </sheetView>
  </sheetViews>
  <sheetFormatPr defaultRowHeight="15" x14ac:dyDescent="0.25"/>
  <cols>
    <col min="1" max="1" width="30.5703125" style="26" bestFit="1" customWidth="1"/>
    <col min="2" max="2" width="11.28515625" style="26" bestFit="1" customWidth="1"/>
  </cols>
  <sheetData>
    <row r="1" spans="1:2" x14ac:dyDescent="0.25">
      <c r="A1" s="70" t="s">
        <v>1636</v>
      </c>
      <c r="B1" s="71" t="s">
        <v>1555</v>
      </c>
    </row>
    <row r="2" spans="1:2" x14ac:dyDescent="0.25">
      <c r="A2" s="18" t="s">
        <v>637</v>
      </c>
      <c r="B2" s="19" t="s">
        <v>1575</v>
      </c>
    </row>
    <row r="3" spans="1:2" x14ac:dyDescent="0.25">
      <c r="A3" s="18" t="s">
        <v>329</v>
      </c>
      <c r="B3" s="19" t="s">
        <v>1575</v>
      </c>
    </row>
    <row r="4" spans="1:2" x14ac:dyDescent="0.25">
      <c r="A4" s="18" t="s">
        <v>558</v>
      </c>
      <c r="B4" s="19" t="s">
        <v>1565</v>
      </c>
    </row>
    <row r="5" spans="1:2" x14ac:dyDescent="0.25">
      <c r="A5" s="18" t="s">
        <v>485</v>
      </c>
      <c r="B5" s="19" t="s">
        <v>1575</v>
      </c>
    </row>
    <row r="6" spans="1:2" x14ac:dyDescent="0.25">
      <c r="A6" s="18" t="s">
        <v>902</v>
      </c>
      <c r="B6" s="19" t="s">
        <v>1570</v>
      </c>
    </row>
    <row r="7" spans="1:2" x14ac:dyDescent="0.25">
      <c r="A7" s="18" t="s">
        <v>586</v>
      </c>
      <c r="B7" s="19" t="s">
        <v>1570</v>
      </c>
    </row>
    <row r="8" spans="1:2" x14ac:dyDescent="0.25">
      <c r="A8" s="18" t="s">
        <v>323</v>
      </c>
      <c r="B8" s="19" t="s">
        <v>1570</v>
      </c>
    </row>
    <row r="9" spans="1:2" x14ac:dyDescent="0.25">
      <c r="A9" s="18" t="s">
        <v>1220</v>
      </c>
      <c r="B9" s="19" t="s">
        <v>1570</v>
      </c>
    </row>
    <row r="10" spans="1:2" x14ac:dyDescent="0.25">
      <c r="A10" s="18" t="s">
        <v>678</v>
      </c>
      <c r="B10" s="19" t="s">
        <v>1570</v>
      </c>
    </row>
    <row r="11" spans="1:2" x14ac:dyDescent="0.25">
      <c r="A11" s="18" t="s">
        <v>573</v>
      </c>
      <c r="B11" s="19" t="s">
        <v>1570</v>
      </c>
    </row>
    <row r="12" spans="1:2" x14ac:dyDescent="0.25">
      <c r="A12" s="18" t="s">
        <v>841</v>
      </c>
      <c r="B12" s="19" t="s">
        <v>1575</v>
      </c>
    </row>
    <row r="13" spans="1:2" x14ac:dyDescent="0.25">
      <c r="A13" s="18" t="s">
        <v>351</v>
      </c>
      <c r="B13" s="19" t="s">
        <v>1565</v>
      </c>
    </row>
    <row r="14" spans="1:2" x14ac:dyDescent="0.25">
      <c r="A14" s="18" t="s">
        <v>291</v>
      </c>
      <c r="B14" s="19" t="s">
        <v>1565</v>
      </c>
    </row>
    <row r="15" spans="1:2" x14ac:dyDescent="0.25">
      <c r="A15" s="18" t="s">
        <v>1272</v>
      </c>
      <c r="B15" s="19" t="s">
        <v>1565</v>
      </c>
    </row>
    <row r="16" spans="1:2" x14ac:dyDescent="0.25">
      <c r="A16" s="18" t="s">
        <v>875</v>
      </c>
      <c r="B16" s="19" t="s">
        <v>1570</v>
      </c>
    </row>
    <row r="17" spans="1:2" x14ac:dyDescent="0.25">
      <c r="A17" s="18" t="s">
        <v>914</v>
      </c>
      <c r="B17" s="19" t="s">
        <v>1565</v>
      </c>
    </row>
    <row r="18" spans="1:2" x14ac:dyDescent="0.25">
      <c r="A18" s="18" t="s">
        <v>24</v>
      </c>
      <c r="B18" s="19" t="s">
        <v>1575</v>
      </c>
    </row>
    <row r="19" spans="1:2" x14ac:dyDescent="0.25">
      <c r="A19" s="18" t="s">
        <v>273</v>
      </c>
      <c r="B19" s="19" t="s">
        <v>1575</v>
      </c>
    </row>
    <row r="20" spans="1:2" x14ac:dyDescent="0.25">
      <c r="A20" s="18" t="s">
        <v>1194</v>
      </c>
      <c r="B20" s="19" t="s">
        <v>1575</v>
      </c>
    </row>
    <row r="21" spans="1:2" x14ac:dyDescent="0.25">
      <c r="A21" s="18" t="s">
        <v>1126</v>
      </c>
      <c r="B21" s="19" t="s">
        <v>1570</v>
      </c>
    </row>
    <row r="22" spans="1:2" x14ac:dyDescent="0.25">
      <c r="A22" s="18" t="s">
        <v>519</v>
      </c>
      <c r="B22" s="19" t="s">
        <v>1575</v>
      </c>
    </row>
    <row r="23" spans="1:2" x14ac:dyDescent="0.25">
      <c r="A23" s="18" t="s">
        <v>644</v>
      </c>
      <c r="B23" s="19" t="s">
        <v>1575</v>
      </c>
    </row>
    <row r="24" spans="1:2" x14ac:dyDescent="0.25">
      <c r="A24" s="18" t="s">
        <v>795</v>
      </c>
      <c r="B24" s="19" t="s">
        <v>1575</v>
      </c>
    </row>
    <row r="25" spans="1:2" x14ac:dyDescent="0.25">
      <c r="A25" s="18" t="s">
        <v>664</v>
      </c>
      <c r="B25" s="19" t="s">
        <v>1575</v>
      </c>
    </row>
    <row r="26" spans="1:2" x14ac:dyDescent="0.25">
      <c r="A26" s="18" t="s">
        <v>1288</v>
      </c>
      <c r="B26" s="19" t="s">
        <v>1575</v>
      </c>
    </row>
    <row r="27" spans="1:2" x14ac:dyDescent="0.25">
      <c r="A27" s="18" t="s">
        <v>896</v>
      </c>
      <c r="B27" s="19" t="s">
        <v>1565</v>
      </c>
    </row>
    <row r="28" spans="1:2" x14ac:dyDescent="0.25">
      <c r="A28" s="18" t="s">
        <v>544</v>
      </c>
      <c r="B28" s="19" t="s">
        <v>1565</v>
      </c>
    </row>
    <row r="29" spans="1:2" x14ac:dyDescent="0.25">
      <c r="A29" s="18" t="s">
        <v>1226</v>
      </c>
      <c r="B29" s="19" t="s">
        <v>1565</v>
      </c>
    </row>
    <row r="30" spans="1:2" x14ac:dyDescent="0.25">
      <c r="A30" s="18" t="s">
        <v>344</v>
      </c>
      <c r="B30" s="19" t="s">
        <v>1565</v>
      </c>
    </row>
    <row r="31" spans="1:2" x14ac:dyDescent="0.25">
      <c r="A31" s="18" t="s">
        <v>672</v>
      </c>
      <c r="B31" s="19" t="s">
        <v>1570</v>
      </c>
    </row>
    <row r="32" spans="1:2" x14ac:dyDescent="0.25">
      <c r="A32" s="18" t="s">
        <v>387</v>
      </c>
      <c r="B32" s="19" t="s">
        <v>1565</v>
      </c>
    </row>
    <row r="33" spans="1:2" x14ac:dyDescent="0.25">
      <c r="A33" s="18" t="s">
        <v>62</v>
      </c>
      <c r="B33" s="19" t="s">
        <v>1565</v>
      </c>
    </row>
    <row r="34" spans="1:2" x14ac:dyDescent="0.25">
      <c r="A34" s="18" t="s">
        <v>1072</v>
      </c>
      <c r="B34" s="19" t="s">
        <v>1565</v>
      </c>
    </row>
    <row r="35" spans="1:2" x14ac:dyDescent="0.25">
      <c r="A35" s="18" t="s">
        <v>822</v>
      </c>
      <c r="B35" s="19" t="s">
        <v>1575</v>
      </c>
    </row>
    <row r="36" spans="1:2" x14ac:dyDescent="0.25">
      <c r="A36" s="18" t="s">
        <v>1389</v>
      </c>
      <c r="B36" s="19" t="s">
        <v>1575</v>
      </c>
    </row>
    <row r="37" spans="1:2" x14ac:dyDescent="0.25">
      <c r="A37" s="18" t="s">
        <v>829</v>
      </c>
      <c r="B37" s="19" t="s">
        <v>1575</v>
      </c>
    </row>
    <row r="38" spans="1:2" x14ac:dyDescent="0.25">
      <c r="A38" s="18" t="s">
        <v>244</v>
      </c>
      <c r="B38" s="19" t="s">
        <v>1565</v>
      </c>
    </row>
    <row r="39" spans="1:2" x14ac:dyDescent="0.25">
      <c r="A39" s="18" t="s">
        <v>505</v>
      </c>
      <c r="B39" s="19" t="s">
        <v>1565</v>
      </c>
    </row>
    <row r="40" spans="1:2" x14ac:dyDescent="0.25">
      <c r="A40" s="18" t="s">
        <v>512</v>
      </c>
      <c r="B40" s="19" t="s">
        <v>1575</v>
      </c>
    </row>
    <row r="41" spans="1:2" x14ac:dyDescent="0.25">
      <c r="A41" s="18" t="s">
        <v>860</v>
      </c>
      <c r="B41" s="19" t="s">
        <v>1575</v>
      </c>
    </row>
    <row r="42" spans="1:2" x14ac:dyDescent="0.25">
      <c r="A42" s="18" t="s">
        <v>853</v>
      </c>
      <c r="B42" s="19" t="s">
        <v>1570</v>
      </c>
    </row>
    <row r="43" spans="1:2" x14ac:dyDescent="0.25">
      <c r="A43" s="18" t="s">
        <v>1255</v>
      </c>
      <c r="B43" s="19" t="s">
        <v>1570</v>
      </c>
    </row>
    <row r="44" spans="1:2" x14ac:dyDescent="0.25">
      <c r="A44" s="18" t="s">
        <v>867</v>
      </c>
      <c r="B44" s="19" t="s">
        <v>1570</v>
      </c>
    </row>
    <row r="45" spans="1:2" x14ac:dyDescent="0.25">
      <c r="A45" s="18" t="s">
        <v>835</v>
      </c>
      <c r="B45" s="19" t="s">
        <v>1565</v>
      </c>
    </row>
    <row r="46" spans="1:2" x14ac:dyDescent="0.25">
      <c r="A46" s="18" t="s">
        <v>650</v>
      </c>
      <c r="B46" s="19" t="s">
        <v>1570</v>
      </c>
    </row>
    <row r="47" spans="1:2" x14ac:dyDescent="0.25">
      <c r="A47" s="18" t="s">
        <v>303</v>
      </c>
      <c r="B47" s="19" t="s">
        <v>1565</v>
      </c>
    </row>
    <row r="48" spans="1:2" x14ac:dyDescent="0.25">
      <c r="A48" s="18" t="s">
        <v>1376</v>
      </c>
      <c r="B48" s="19" t="s">
        <v>1565</v>
      </c>
    </row>
    <row r="49" spans="1:2" x14ac:dyDescent="0.25">
      <c r="A49" s="18" t="s">
        <v>597</v>
      </c>
      <c r="B49" s="19" t="s">
        <v>1565</v>
      </c>
    </row>
    <row r="50" spans="1:2" x14ac:dyDescent="0.25">
      <c r="A50" s="18" t="s">
        <v>315</v>
      </c>
      <c r="B50" s="19" t="s">
        <v>1565</v>
      </c>
    </row>
    <row r="51" spans="1:2" x14ac:dyDescent="0.25">
      <c r="A51" s="18" t="s">
        <v>1000</v>
      </c>
      <c r="B51" s="19" t="s">
        <v>1565</v>
      </c>
    </row>
    <row r="52" spans="1:2" x14ac:dyDescent="0.25">
      <c r="A52" s="18" t="s">
        <v>71</v>
      </c>
      <c r="B52" s="19" t="s">
        <v>1565</v>
      </c>
    </row>
    <row r="53" spans="1:2" x14ac:dyDescent="0.25">
      <c r="A53" s="18" t="s">
        <v>364</v>
      </c>
      <c r="B53" s="19" t="s">
        <v>1565</v>
      </c>
    </row>
    <row r="54" spans="1:2" x14ac:dyDescent="0.25">
      <c r="A54" s="18" t="s">
        <v>926</v>
      </c>
      <c r="B54" s="19" t="s">
        <v>1570</v>
      </c>
    </row>
    <row r="55" spans="1:2" x14ac:dyDescent="0.25">
      <c r="A55" s="18" t="s">
        <v>630</v>
      </c>
      <c r="B55" s="19" t="s">
        <v>1575</v>
      </c>
    </row>
    <row r="56" spans="1:2" x14ac:dyDescent="0.25">
      <c r="A56" s="18" t="s">
        <v>227</v>
      </c>
      <c r="B56" s="19" t="s">
        <v>1575</v>
      </c>
    </row>
    <row r="57" spans="1:2" x14ac:dyDescent="0.25">
      <c r="A57" s="18" t="s">
        <v>1277</v>
      </c>
      <c r="B57" s="19" t="s">
        <v>1570</v>
      </c>
    </row>
    <row r="58" spans="1:2" x14ac:dyDescent="0.25">
      <c r="A58" s="18" t="s">
        <v>131</v>
      </c>
      <c r="B58" s="19" t="s">
        <v>1570</v>
      </c>
    </row>
    <row r="59" spans="1:2" x14ac:dyDescent="0.25">
      <c r="A59" s="18" t="s">
        <v>539</v>
      </c>
      <c r="B59" s="19" t="s">
        <v>1570</v>
      </c>
    </row>
    <row r="60" spans="1:2" x14ac:dyDescent="0.25">
      <c r="A60" s="18" t="s">
        <v>249</v>
      </c>
      <c r="B60" s="19" t="s">
        <v>1565</v>
      </c>
    </row>
    <row r="61" spans="1:2" x14ac:dyDescent="0.25">
      <c r="A61" s="18" t="s">
        <v>657</v>
      </c>
      <c r="B61" s="19" t="s">
        <v>1575</v>
      </c>
    </row>
    <row r="62" spans="1:2" x14ac:dyDescent="0.25">
      <c r="A62" s="18" t="s">
        <v>86</v>
      </c>
      <c r="B62" s="19" t="s">
        <v>1565</v>
      </c>
    </row>
    <row r="63" spans="1:2" x14ac:dyDescent="0.25">
      <c r="A63" s="18" t="s">
        <v>604</v>
      </c>
      <c r="B63" s="19" t="s">
        <v>1565</v>
      </c>
    </row>
    <row r="64" spans="1:2" x14ac:dyDescent="0.25">
      <c r="A64" s="18" t="s">
        <v>802</v>
      </c>
      <c r="B64" s="19" t="s">
        <v>1575</v>
      </c>
    </row>
    <row r="65" spans="1:2" x14ac:dyDescent="0.25">
      <c r="A65" s="18" t="s">
        <v>53</v>
      </c>
      <c r="B65" s="19" t="s">
        <v>1565</v>
      </c>
    </row>
    <row r="66" spans="1:2" x14ac:dyDescent="0.25">
      <c r="A66" s="18" t="s">
        <v>370</v>
      </c>
      <c r="B66" s="19" t="s">
        <v>1565</v>
      </c>
    </row>
    <row r="67" spans="1:2" x14ac:dyDescent="0.25">
      <c r="A67" s="18" t="s">
        <v>1245</v>
      </c>
      <c r="B67" s="19" t="s">
        <v>1570</v>
      </c>
    </row>
    <row r="68" spans="1:2" x14ac:dyDescent="0.25">
      <c r="A68" s="18" t="s">
        <v>466</v>
      </c>
      <c r="B68" s="19" t="s">
        <v>1565</v>
      </c>
    </row>
    <row r="69" spans="1:2" x14ac:dyDescent="0.25">
      <c r="A69" s="18" t="s">
        <v>238</v>
      </c>
      <c r="B69" s="19" t="s">
        <v>1575</v>
      </c>
    </row>
    <row r="70" spans="1:2" x14ac:dyDescent="0.25">
      <c r="A70" s="18" t="s">
        <v>1432</v>
      </c>
      <c r="B70" s="19" t="s">
        <v>1570</v>
      </c>
    </row>
    <row r="71" spans="1:2" x14ac:dyDescent="0.25">
      <c r="A71" s="18" t="s">
        <v>847</v>
      </c>
      <c r="B71" s="19" t="s">
        <v>1565</v>
      </c>
    </row>
    <row r="72" spans="1:2" x14ac:dyDescent="0.25">
      <c r="A72" s="18" t="s">
        <v>1119</v>
      </c>
      <c r="B72" s="19" t="s">
        <v>1570</v>
      </c>
    </row>
    <row r="73" spans="1:2" x14ac:dyDescent="0.25">
      <c r="A73" s="18" t="s">
        <v>499</v>
      </c>
      <c r="B73" s="19" t="s">
        <v>1570</v>
      </c>
    </row>
    <row r="74" spans="1:2" x14ac:dyDescent="0.25">
      <c r="A74" s="18" t="s">
        <v>1207</v>
      </c>
      <c r="B74" s="19" t="s">
        <v>1565</v>
      </c>
    </row>
    <row r="75" spans="1:2" x14ac:dyDescent="0.25">
      <c r="A75" s="18" t="s">
        <v>815</v>
      </c>
      <c r="B75" s="19" t="s">
        <v>1565</v>
      </c>
    </row>
    <row r="76" spans="1:2" x14ac:dyDescent="0.25">
      <c r="A76" s="18" t="s">
        <v>1166</v>
      </c>
      <c r="B76" s="19" t="s">
        <v>1570</v>
      </c>
    </row>
    <row r="77" spans="1:2" x14ac:dyDescent="0.25">
      <c r="A77" s="18" t="s">
        <v>580</v>
      </c>
      <c r="B77" s="19" t="s">
        <v>1570</v>
      </c>
    </row>
    <row r="78" spans="1:2" x14ac:dyDescent="0.25">
      <c r="A78" s="18" t="s">
        <v>1300</v>
      </c>
      <c r="B78" s="19" t="s">
        <v>1565</v>
      </c>
    </row>
    <row r="79" spans="1:2" x14ac:dyDescent="0.25">
      <c r="A79" s="18" t="s">
        <v>1266</v>
      </c>
      <c r="B79" s="19" t="s">
        <v>1565</v>
      </c>
    </row>
    <row r="80" spans="1:2" x14ac:dyDescent="0.25">
      <c r="A80" s="18" t="s">
        <v>44</v>
      </c>
      <c r="B80" s="19" t="s">
        <v>1565</v>
      </c>
    </row>
    <row r="81" spans="1:2" x14ac:dyDescent="0.25">
      <c r="A81" s="18" t="s">
        <v>1238</v>
      </c>
      <c r="B81" s="19" t="s">
        <v>1565</v>
      </c>
    </row>
    <row r="82" spans="1:2" x14ac:dyDescent="0.25">
      <c r="A82" s="18" t="s">
        <v>610</v>
      </c>
      <c r="B82" s="19" t="s">
        <v>1575</v>
      </c>
    </row>
    <row r="83" spans="1:2" x14ac:dyDescent="0.25">
      <c r="A83" s="18" t="s">
        <v>492</v>
      </c>
      <c r="B83" s="19" t="s">
        <v>1570</v>
      </c>
    </row>
    <row r="84" spans="1:2" x14ac:dyDescent="0.25">
      <c r="A84" s="20" t="s">
        <v>771</v>
      </c>
      <c r="B84" s="21" t="s">
        <v>1570</v>
      </c>
    </row>
    <row r="85" spans="1:2" x14ac:dyDescent="0.25">
      <c r="A85" s="18" t="s">
        <v>1107</v>
      </c>
      <c r="B85" s="19" t="s">
        <v>1570</v>
      </c>
    </row>
    <row r="86" spans="1:2" x14ac:dyDescent="0.25">
      <c r="A86" s="18" t="s">
        <v>971</v>
      </c>
      <c r="B86" s="19" t="s">
        <v>1565</v>
      </c>
    </row>
    <row r="87" spans="1:2" x14ac:dyDescent="0.25">
      <c r="A87" s="18" t="s">
        <v>1420</v>
      </c>
      <c r="B87" s="19" t="s">
        <v>1565</v>
      </c>
    </row>
    <row r="88" spans="1:2" x14ac:dyDescent="0.25">
      <c r="A88" s="22" t="s">
        <v>1328</v>
      </c>
      <c r="B88" s="23" t="s">
        <v>1570</v>
      </c>
    </row>
    <row r="89" spans="1:2" x14ac:dyDescent="0.25">
      <c r="A89" s="18" t="s">
        <v>79</v>
      </c>
      <c r="B89" s="19" t="s">
        <v>1570</v>
      </c>
    </row>
    <row r="90" spans="1:2" x14ac:dyDescent="0.25">
      <c r="A90" s="18" t="s">
        <v>952</v>
      </c>
      <c r="B90" s="19" t="s">
        <v>1565</v>
      </c>
    </row>
    <row r="91" spans="1:2" x14ac:dyDescent="0.25">
      <c r="A91" s="18" t="s">
        <v>337</v>
      </c>
      <c r="B91" s="19" t="s">
        <v>1565</v>
      </c>
    </row>
    <row r="92" spans="1:2" x14ac:dyDescent="0.25">
      <c r="A92" s="18" t="s">
        <v>532</v>
      </c>
      <c r="B92" s="19" t="s">
        <v>1565</v>
      </c>
    </row>
    <row r="93" spans="1:2" x14ac:dyDescent="0.25">
      <c r="A93" s="22" t="s">
        <v>526</v>
      </c>
      <c r="B93" s="23" t="s">
        <v>1565</v>
      </c>
    </row>
    <row r="94" spans="1:2" x14ac:dyDescent="0.25">
      <c r="A94" s="18" t="s">
        <v>1201</v>
      </c>
      <c r="B94" s="19" t="s">
        <v>1565</v>
      </c>
    </row>
    <row r="95" spans="1:2" x14ac:dyDescent="0.25">
      <c r="A95" s="18" t="s">
        <v>809</v>
      </c>
      <c r="B95" s="19" t="s">
        <v>1570</v>
      </c>
    </row>
    <row r="96" spans="1:2" x14ac:dyDescent="0.25">
      <c r="A96" s="18" t="s">
        <v>1100</v>
      </c>
      <c r="B96" s="19" t="s">
        <v>1565</v>
      </c>
    </row>
    <row r="97" spans="1:2" x14ac:dyDescent="0.25">
      <c r="A97" s="18" t="s">
        <v>267</v>
      </c>
      <c r="B97" s="19" t="s">
        <v>1565</v>
      </c>
    </row>
    <row r="98" spans="1:2" x14ac:dyDescent="0.25">
      <c r="A98" s="18" t="s">
        <v>566</v>
      </c>
      <c r="B98" s="19" t="s">
        <v>1570</v>
      </c>
    </row>
    <row r="99" spans="1:2" x14ac:dyDescent="0.25">
      <c r="A99" s="18" t="s">
        <v>882</v>
      </c>
      <c r="B99" s="19" t="s">
        <v>1565</v>
      </c>
    </row>
    <row r="100" spans="1:2" x14ac:dyDescent="0.25">
      <c r="A100" s="18" t="s">
        <v>222</v>
      </c>
      <c r="B100" s="19" t="s">
        <v>1565</v>
      </c>
    </row>
    <row r="101" spans="1:2" ht="15.75" thickBot="1" x14ac:dyDescent="0.3">
      <c r="A101" s="24" t="s">
        <v>920</v>
      </c>
      <c r="B101" s="25" t="s">
        <v>1565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9F566-3479-43AB-B853-EAC3439ED77C}">
  <dimension ref="A1:B32"/>
  <sheetViews>
    <sheetView workbookViewId="0">
      <selection activeCell="C22" sqref="C22"/>
    </sheetView>
  </sheetViews>
  <sheetFormatPr defaultRowHeight="15" x14ac:dyDescent="0.25"/>
  <cols>
    <col min="1" max="1" width="4.85546875" style="26" bestFit="1" customWidth="1"/>
    <col min="2" max="2" width="13.42578125" style="26" bestFit="1" customWidth="1"/>
  </cols>
  <sheetData>
    <row r="1" spans="1:2" x14ac:dyDescent="0.25">
      <c r="A1" s="64" t="s">
        <v>1632</v>
      </c>
      <c r="B1" s="65" t="s">
        <v>1633</v>
      </c>
    </row>
    <row r="2" spans="1:2" x14ac:dyDescent="0.25">
      <c r="A2" s="28">
        <v>0</v>
      </c>
      <c r="B2" s="29" t="s">
        <v>1640</v>
      </c>
    </row>
    <row r="3" spans="1:2" x14ac:dyDescent="0.25">
      <c r="A3" s="28">
        <v>1</v>
      </c>
      <c r="B3" s="29" t="s">
        <v>1640</v>
      </c>
    </row>
    <row r="4" spans="1:2" x14ac:dyDescent="0.25">
      <c r="A4" s="28">
        <v>2</v>
      </c>
      <c r="B4" s="29" t="s">
        <v>1645</v>
      </c>
    </row>
    <row r="5" spans="1:2" x14ac:dyDescent="0.25">
      <c r="A5" s="28">
        <v>3</v>
      </c>
      <c r="B5" s="29" t="s">
        <v>1645</v>
      </c>
    </row>
    <row r="6" spans="1:2" x14ac:dyDescent="0.25">
      <c r="A6" s="28">
        <v>4</v>
      </c>
      <c r="B6" s="29" t="s">
        <v>1645</v>
      </c>
    </row>
    <row r="7" spans="1:2" x14ac:dyDescent="0.25">
      <c r="A7" s="28">
        <v>5</v>
      </c>
      <c r="B7" s="29" t="s">
        <v>1650</v>
      </c>
    </row>
    <row r="8" spans="1:2" x14ac:dyDescent="0.25">
      <c r="A8" s="28">
        <v>6</v>
      </c>
      <c r="B8" s="29" t="s">
        <v>1650</v>
      </c>
    </row>
    <row r="9" spans="1:2" x14ac:dyDescent="0.25">
      <c r="A9" s="28">
        <v>7</v>
      </c>
      <c r="B9" s="29" t="s">
        <v>1650</v>
      </c>
    </row>
    <row r="10" spans="1:2" x14ac:dyDescent="0.25">
      <c r="A10" s="28">
        <v>8</v>
      </c>
      <c r="B10" s="29" t="s">
        <v>1650</v>
      </c>
    </row>
    <row r="11" spans="1:2" x14ac:dyDescent="0.25">
      <c r="A11" s="28">
        <v>9</v>
      </c>
      <c r="B11" s="29" t="s">
        <v>1650</v>
      </c>
    </row>
    <row r="12" spans="1:2" x14ac:dyDescent="0.25">
      <c r="A12" s="28">
        <v>10</v>
      </c>
      <c r="B12" s="29" t="s">
        <v>1656</v>
      </c>
    </row>
    <row r="13" spans="1:2" x14ac:dyDescent="0.25">
      <c r="A13" s="28">
        <v>11</v>
      </c>
      <c r="B13" s="29" t="s">
        <v>1656</v>
      </c>
    </row>
    <row r="14" spans="1:2" x14ac:dyDescent="0.25">
      <c r="A14" s="28">
        <v>12</v>
      </c>
      <c r="B14" s="29" t="s">
        <v>1656</v>
      </c>
    </row>
    <row r="15" spans="1:2" x14ac:dyDescent="0.25">
      <c r="A15" s="28">
        <v>13</v>
      </c>
      <c r="B15" s="29" t="s">
        <v>1656</v>
      </c>
    </row>
    <row r="16" spans="1:2" x14ac:dyDescent="0.25">
      <c r="A16" s="28">
        <v>14</v>
      </c>
      <c r="B16" s="29" t="s">
        <v>1656</v>
      </c>
    </row>
    <row r="17" spans="1:2" x14ac:dyDescent="0.25">
      <c r="A17" s="28">
        <v>15</v>
      </c>
      <c r="B17" s="29" t="s">
        <v>1663</v>
      </c>
    </row>
    <row r="18" spans="1:2" x14ac:dyDescent="0.25">
      <c r="A18" s="28">
        <v>16</v>
      </c>
      <c r="B18" s="29" t="s">
        <v>1663</v>
      </c>
    </row>
    <row r="19" spans="1:2" x14ac:dyDescent="0.25">
      <c r="A19" s="28">
        <v>17</v>
      </c>
      <c r="B19" s="29" t="s">
        <v>1663</v>
      </c>
    </row>
    <row r="20" spans="1:2" x14ac:dyDescent="0.25">
      <c r="A20" s="28">
        <v>18</v>
      </c>
      <c r="B20" s="29" t="s">
        <v>1663</v>
      </c>
    </row>
    <row r="21" spans="1:2" x14ac:dyDescent="0.25">
      <c r="A21" s="28">
        <v>19</v>
      </c>
      <c r="B21" s="29" t="s">
        <v>1663</v>
      </c>
    </row>
    <row r="22" spans="1:2" x14ac:dyDescent="0.25">
      <c r="A22" s="28">
        <v>20</v>
      </c>
      <c r="B22" s="29" t="s">
        <v>1672</v>
      </c>
    </row>
    <row r="23" spans="1:2" x14ac:dyDescent="0.25">
      <c r="A23" s="28">
        <v>21</v>
      </c>
      <c r="B23" s="29" t="s">
        <v>1672</v>
      </c>
    </row>
    <row r="24" spans="1:2" x14ac:dyDescent="0.25">
      <c r="A24" s="28">
        <v>22</v>
      </c>
      <c r="B24" s="29" t="s">
        <v>1672</v>
      </c>
    </row>
    <row r="25" spans="1:2" x14ac:dyDescent="0.25">
      <c r="A25" s="28">
        <v>23</v>
      </c>
      <c r="B25" s="29" t="s">
        <v>1672</v>
      </c>
    </row>
    <row r="26" spans="1:2" x14ac:dyDescent="0.25">
      <c r="A26" s="28">
        <v>24</v>
      </c>
      <c r="B26" s="29" t="s">
        <v>1672</v>
      </c>
    </row>
    <row r="27" spans="1:2" x14ac:dyDescent="0.25">
      <c r="A27" s="28">
        <v>25</v>
      </c>
      <c r="B27" s="29" t="s">
        <v>1672</v>
      </c>
    </row>
    <row r="28" spans="1:2" x14ac:dyDescent="0.25">
      <c r="A28" s="28">
        <v>26</v>
      </c>
      <c r="B28" s="29" t="s">
        <v>1672</v>
      </c>
    </row>
    <row r="29" spans="1:2" x14ac:dyDescent="0.25">
      <c r="A29" s="28">
        <v>27</v>
      </c>
      <c r="B29" s="29" t="s">
        <v>1672</v>
      </c>
    </row>
    <row r="30" spans="1:2" x14ac:dyDescent="0.25">
      <c r="A30" s="28">
        <v>28</v>
      </c>
      <c r="B30" s="29" t="s">
        <v>1672</v>
      </c>
    </row>
    <row r="31" spans="1:2" x14ac:dyDescent="0.25">
      <c r="A31" s="28">
        <v>29</v>
      </c>
      <c r="B31" s="29" t="s">
        <v>1672</v>
      </c>
    </row>
    <row r="32" spans="1:2" ht="15.75" thickBot="1" x14ac:dyDescent="0.3">
      <c r="A32" s="30">
        <v>30</v>
      </c>
      <c r="B32" s="31" t="s">
        <v>1672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CA32F-84D8-4C6F-9985-6B51CE6A0AA3}">
  <dimension ref="A1:B57"/>
  <sheetViews>
    <sheetView topLeftCell="A5" workbookViewId="0">
      <selection activeCell="B17" sqref="B17"/>
    </sheetView>
  </sheetViews>
  <sheetFormatPr defaultRowHeight="15" x14ac:dyDescent="0.25"/>
  <cols>
    <col min="1" max="1" width="4.140625" style="26" bestFit="1" customWidth="1"/>
    <col min="2" max="2" width="13.7109375" style="26" bestFit="1" customWidth="1"/>
  </cols>
  <sheetData>
    <row r="1" spans="1:2" ht="15.75" thickBot="1" x14ac:dyDescent="0.3"/>
    <row r="2" spans="1:2" x14ac:dyDescent="0.25">
      <c r="A2" s="60" t="s">
        <v>10</v>
      </c>
      <c r="B2" s="61" t="s">
        <v>11</v>
      </c>
    </row>
    <row r="3" spans="1:2" x14ac:dyDescent="0.25">
      <c r="A3" s="28">
        <v>11</v>
      </c>
      <c r="B3" s="29" t="s">
        <v>1637</v>
      </c>
    </row>
    <row r="4" spans="1:2" x14ac:dyDescent="0.25">
      <c r="A4" s="28">
        <v>12</v>
      </c>
      <c r="B4" s="29" t="s">
        <v>1637</v>
      </c>
    </row>
    <row r="5" spans="1:2" x14ac:dyDescent="0.25">
      <c r="A5" s="28">
        <v>13</v>
      </c>
      <c r="B5" s="29" t="s">
        <v>1637</v>
      </c>
    </row>
    <row r="6" spans="1:2" x14ac:dyDescent="0.25">
      <c r="A6" s="28">
        <v>14</v>
      </c>
      <c r="B6" s="29" t="s">
        <v>1637</v>
      </c>
    </row>
    <row r="7" spans="1:2" x14ac:dyDescent="0.25">
      <c r="A7" s="28">
        <v>15</v>
      </c>
      <c r="B7" s="29" t="s">
        <v>1637</v>
      </c>
    </row>
    <row r="8" spans="1:2" x14ac:dyDescent="0.25">
      <c r="A8" s="28">
        <v>16</v>
      </c>
      <c r="B8" s="29" t="s">
        <v>1637</v>
      </c>
    </row>
    <row r="9" spans="1:2" x14ac:dyDescent="0.25">
      <c r="A9" s="28">
        <v>17</v>
      </c>
      <c r="B9" s="29" t="s">
        <v>1637</v>
      </c>
    </row>
    <row r="10" spans="1:2" x14ac:dyDescent="0.25">
      <c r="A10" s="28">
        <v>18</v>
      </c>
      <c r="B10" s="29" t="s">
        <v>1637</v>
      </c>
    </row>
    <row r="11" spans="1:2" x14ac:dyDescent="0.25">
      <c r="A11" s="28">
        <v>19</v>
      </c>
      <c r="B11" s="29" t="s">
        <v>1637</v>
      </c>
    </row>
    <row r="12" spans="1:2" x14ac:dyDescent="0.25">
      <c r="A12" s="28">
        <v>20</v>
      </c>
      <c r="B12" s="29" t="s">
        <v>1654</v>
      </c>
    </row>
    <row r="13" spans="1:2" x14ac:dyDescent="0.25">
      <c r="A13" s="28">
        <v>21</v>
      </c>
      <c r="B13" s="29" t="s">
        <v>1654</v>
      </c>
    </row>
    <row r="14" spans="1:2" x14ac:dyDescent="0.25">
      <c r="A14" s="28">
        <v>22</v>
      </c>
      <c r="B14" s="29" t="s">
        <v>1654</v>
      </c>
    </row>
    <row r="15" spans="1:2" x14ac:dyDescent="0.25">
      <c r="A15" s="28">
        <v>23</v>
      </c>
      <c r="B15" s="29" t="s">
        <v>1654</v>
      </c>
    </row>
    <row r="16" spans="1:2" x14ac:dyDescent="0.25">
      <c r="A16" s="28">
        <v>24</v>
      </c>
      <c r="B16" s="29" t="s">
        <v>1654</v>
      </c>
    </row>
    <row r="17" spans="1:2" x14ac:dyDescent="0.25">
      <c r="A17" s="28">
        <v>25</v>
      </c>
      <c r="B17" s="29" t="s">
        <v>1654</v>
      </c>
    </row>
    <row r="18" spans="1:2" x14ac:dyDescent="0.25">
      <c r="A18" s="28">
        <v>26</v>
      </c>
      <c r="B18" s="29" t="s">
        <v>1654</v>
      </c>
    </row>
    <row r="19" spans="1:2" x14ac:dyDescent="0.25">
      <c r="A19" s="28">
        <v>27</v>
      </c>
      <c r="B19" s="29" t="s">
        <v>1654</v>
      </c>
    </row>
    <row r="20" spans="1:2" x14ac:dyDescent="0.25">
      <c r="A20" s="28">
        <v>28</v>
      </c>
      <c r="B20" s="29" t="s">
        <v>1654</v>
      </c>
    </row>
    <row r="21" spans="1:2" x14ac:dyDescent="0.25">
      <c r="A21" s="28">
        <v>29</v>
      </c>
      <c r="B21" s="29" t="s">
        <v>1654</v>
      </c>
    </row>
    <row r="22" spans="1:2" x14ac:dyDescent="0.25">
      <c r="A22" s="28">
        <v>30</v>
      </c>
      <c r="B22" s="29" t="s">
        <v>1668</v>
      </c>
    </row>
    <row r="23" spans="1:2" x14ac:dyDescent="0.25">
      <c r="A23" s="28">
        <v>31</v>
      </c>
      <c r="B23" s="29" t="s">
        <v>1668</v>
      </c>
    </row>
    <row r="24" spans="1:2" x14ac:dyDescent="0.25">
      <c r="A24" s="28">
        <v>32</v>
      </c>
      <c r="B24" s="29" t="s">
        <v>1668</v>
      </c>
    </row>
    <row r="25" spans="1:2" x14ac:dyDescent="0.25">
      <c r="A25" s="28">
        <v>33</v>
      </c>
      <c r="B25" s="29" t="s">
        <v>1668</v>
      </c>
    </row>
    <row r="26" spans="1:2" x14ac:dyDescent="0.25">
      <c r="A26" s="28">
        <v>34</v>
      </c>
      <c r="B26" s="29" t="s">
        <v>1668</v>
      </c>
    </row>
    <row r="27" spans="1:2" x14ac:dyDescent="0.25">
      <c r="A27" s="28">
        <v>35</v>
      </c>
      <c r="B27" s="29" t="s">
        <v>1668</v>
      </c>
    </row>
    <row r="28" spans="1:2" x14ac:dyDescent="0.25">
      <c r="A28" s="28">
        <v>36</v>
      </c>
      <c r="B28" s="29" t="s">
        <v>1668</v>
      </c>
    </row>
    <row r="29" spans="1:2" x14ac:dyDescent="0.25">
      <c r="A29" s="28">
        <v>37</v>
      </c>
      <c r="B29" s="29" t="s">
        <v>1668</v>
      </c>
    </row>
    <row r="30" spans="1:2" x14ac:dyDescent="0.25">
      <c r="A30" s="28">
        <v>38</v>
      </c>
      <c r="B30" s="29" t="s">
        <v>1668</v>
      </c>
    </row>
    <row r="31" spans="1:2" x14ac:dyDescent="0.25">
      <c r="A31" s="28">
        <v>39</v>
      </c>
      <c r="B31" s="29" t="s">
        <v>1668</v>
      </c>
    </row>
    <row r="32" spans="1:2" x14ac:dyDescent="0.25">
      <c r="A32" s="28">
        <v>40</v>
      </c>
      <c r="B32" s="29" t="s">
        <v>1679</v>
      </c>
    </row>
    <row r="33" spans="1:2" x14ac:dyDescent="0.25">
      <c r="A33" s="28">
        <v>41</v>
      </c>
      <c r="B33" s="29" t="s">
        <v>1679</v>
      </c>
    </row>
    <row r="34" spans="1:2" x14ac:dyDescent="0.25">
      <c r="A34" s="28">
        <v>42</v>
      </c>
      <c r="B34" s="29" t="s">
        <v>1679</v>
      </c>
    </row>
    <row r="35" spans="1:2" x14ac:dyDescent="0.25">
      <c r="A35" s="28">
        <v>43</v>
      </c>
      <c r="B35" s="29" t="s">
        <v>1679</v>
      </c>
    </row>
    <row r="36" spans="1:2" x14ac:dyDescent="0.25">
      <c r="A36" s="28">
        <v>44</v>
      </c>
      <c r="B36" s="29" t="s">
        <v>1679</v>
      </c>
    </row>
    <row r="37" spans="1:2" x14ac:dyDescent="0.25">
      <c r="A37" s="28">
        <v>45</v>
      </c>
      <c r="B37" s="29" t="s">
        <v>1679</v>
      </c>
    </row>
    <row r="38" spans="1:2" x14ac:dyDescent="0.25">
      <c r="A38" s="28">
        <v>46</v>
      </c>
      <c r="B38" s="29" t="s">
        <v>1679</v>
      </c>
    </row>
    <row r="39" spans="1:2" x14ac:dyDescent="0.25">
      <c r="A39" s="28">
        <v>47</v>
      </c>
      <c r="B39" s="29" t="s">
        <v>1679</v>
      </c>
    </row>
    <row r="40" spans="1:2" x14ac:dyDescent="0.25">
      <c r="A40" s="28">
        <v>48</v>
      </c>
      <c r="B40" s="29" t="s">
        <v>1679</v>
      </c>
    </row>
    <row r="41" spans="1:2" x14ac:dyDescent="0.25">
      <c r="A41" s="28">
        <v>49</v>
      </c>
      <c r="B41" s="29" t="s">
        <v>1679</v>
      </c>
    </row>
    <row r="42" spans="1:2" x14ac:dyDescent="0.25">
      <c r="A42" s="28">
        <v>50</v>
      </c>
      <c r="B42" s="29" t="s">
        <v>1684</v>
      </c>
    </row>
    <row r="43" spans="1:2" x14ac:dyDescent="0.25">
      <c r="A43" s="28">
        <v>51</v>
      </c>
      <c r="B43" s="29" t="s">
        <v>1684</v>
      </c>
    </row>
    <row r="44" spans="1:2" x14ac:dyDescent="0.25">
      <c r="A44" s="28">
        <v>52</v>
      </c>
      <c r="B44" s="29" t="s">
        <v>1684</v>
      </c>
    </row>
    <row r="45" spans="1:2" x14ac:dyDescent="0.25">
      <c r="A45" s="28">
        <v>53</v>
      </c>
      <c r="B45" s="29" t="s">
        <v>1684</v>
      </c>
    </row>
    <row r="46" spans="1:2" x14ac:dyDescent="0.25">
      <c r="A46" s="28">
        <v>54</v>
      </c>
      <c r="B46" s="29" t="s">
        <v>1684</v>
      </c>
    </row>
    <row r="47" spans="1:2" x14ac:dyDescent="0.25">
      <c r="A47" s="28">
        <v>55</v>
      </c>
      <c r="B47" s="29" t="s">
        <v>1684</v>
      </c>
    </row>
    <row r="48" spans="1:2" x14ac:dyDescent="0.25">
      <c r="A48" s="28">
        <v>56</v>
      </c>
      <c r="B48" s="29" t="s">
        <v>1685</v>
      </c>
    </row>
    <row r="49" spans="1:2" x14ac:dyDescent="0.25">
      <c r="A49" s="28">
        <v>57</v>
      </c>
      <c r="B49" s="29" t="s">
        <v>1685</v>
      </c>
    </row>
    <row r="50" spans="1:2" x14ac:dyDescent="0.25">
      <c r="A50" s="28">
        <v>58</v>
      </c>
      <c r="B50" s="29" t="s">
        <v>1685</v>
      </c>
    </row>
    <row r="51" spans="1:2" x14ac:dyDescent="0.25">
      <c r="A51" s="28">
        <v>59</v>
      </c>
      <c r="B51" s="29" t="s">
        <v>1685</v>
      </c>
    </row>
    <row r="52" spans="1:2" x14ac:dyDescent="0.25">
      <c r="A52" s="28">
        <v>60</v>
      </c>
      <c r="B52" s="29" t="s">
        <v>1685</v>
      </c>
    </row>
    <row r="53" spans="1:2" x14ac:dyDescent="0.25">
      <c r="A53" s="28">
        <v>61</v>
      </c>
      <c r="B53" s="29" t="s">
        <v>1685</v>
      </c>
    </row>
    <row r="54" spans="1:2" x14ac:dyDescent="0.25">
      <c r="A54" s="28">
        <v>62</v>
      </c>
      <c r="B54" s="29" t="s">
        <v>1685</v>
      </c>
    </row>
    <row r="55" spans="1:2" x14ac:dyDescent="0.25">
      <c r="A55" s="28">
        <v>63</v>
      </c>
      <c r="B55" s="29" t="s">
        <v>1685</v>
      </c>
    </row>
    <row r="56" spans="1:2" x14ac:dyDescent="0.25">
      <c r="A56" s="28">
        <v>63</v>
      </c>
      <c r="B56" s="29" t="s">
        <v>1685</v>
      </c>
    </row>
    <row r="57" spans="1:2" ht="15.75" thickBot="1" x14ac:dyDescent="0.3">
      <c r="A57" s="30">
        <v>63</v>
      </c>
      <c r="B57" s="29" t="s">
        <v>1685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D15D0-5CF4-4A6C-9B8B-CDA6E548363D}">
  <dimension ref="A1:I252"/>
  <sheetViews>
    <sheetView tabSelected="1" workbookViewId="0">
      <selection activeCell="A5" sqref="A5"/>
    </sheetView>
  </sheetViews>
  <sheetFormatPr defaultRowHeight="15" x14ac:dyDescent="0.25"/>
  <cols>
    <col min="1" max="1" width="27" style="15" bestFit="1" customWidth="1"/>
    <col min="2" max="2" width="18.85546875" bestFit="1" customWidth="1"/>
    <col min="3" max="3" width="19.7109375" bestFit="1" customWidth="1"/>
    <col min="4" max="4" width="18.85546875" bestFit="1" customWidth="1"/>
    <col min="5" max="5" width="25.28515625" bestFit="1" customWidth="1"/>
    <col min="9" max="9" width="11" bestFit="1" customWidth="1"/>
  </cols>
  <sheetData>
    <row r="1" spans="1:9" x14ac:dyDescent="0.25">
      <c r="A1" s="77" t="s">
        <v>1689</v>
      </c>
      <c r="C1" s="74" t="s">
        <v>6</v>
      </c>
      <c r="D1" s="74" t="s">
        <v>1690</v>
      </c>
      <c r="E1" s="74" t="s">
        <v>1691</v>
      </c>
      <c r="H1" s="82" t="s">
        <v>10</v>
      </c>
      <c r="I1" s="82" t="s">
        <v>11</v>
      </c>
    </row>
    <row r="2" spans="1:9" x14ac:dyDescent="0.25">
      <c r="A2" s="78">
        <f>COUNT(Dataset!A:A)</f>
        <v>239</v>
      </c>
      <c r="C2" s="13" t="s">
        <v>52</v>
      </c>
      <c r="D2" s="75">
        <f>COUNTIF(Dataset!G:G,'Task-Solution'!C2)</f>
        <v>31</v>
      </c>
      <c r="E2" s="76">
        <f>AVERAGEIF(Dataset!G:G,'Task-Solution'!C2,Dataset!R:R)</f>
        <v>329846.6838851613</v>
      </c>
      <c r="H2">
        <f ca="1">ROUNDDOWN((TODAY()-Dataset!J2)/365,0)</f>
        <v>37</v>
      </c>
      <c r="I2" t="str">
        <f ca="1">_xlfn.XLOOKUP(H2,'Age Range'!A:A,'Age Range'!B:B)</f>
        <v>30-39</v>
      </c>
    </row>
    <row r="3" spans="1:9" x14ac:dyDescent="0.25">
      <c r="C3" s="13" t="s">
        <v>78</v>
      </c>
      <c r="D3" s="75">
        <f>COUNTIF(Dataset!G:G,'Task-Solution'!C3)</f>
        <v>112</v>
      </c>
      <c r="E3" s="76">
        <f>AVERAGEIF(Dataset!G:G,'Task-Solution'!C3,Dataset!R:R)</f>
        <v>413596.3744207354</v>
      </c>
      <c r="H3">
        <f ca="1">ROUNDDOWN((TODAY()-Dataset!J3)/365,0)</f>
        <v>53</v>
      </c>
      <c r="I3" t="str">
        <f ca="1">_xlfn.XLOOKUP(H3,'Age Range'!A:A,'Age Range'!B:B)</f>
        <v>50-55</v>
      </c>
    </row>
    <row r="4" spans="1:9" x14ac:dyDescent="0.25">
      <c r="A4" s="77" t="s">
        <v>1692</v>
      </c>
      <c r="C4" s="13" t="s">
        <v>35</v>
      </c>
      <c r="D4" s="75">
        <f>COUNTIF(Dataset!G:G,'Task-Solution'!C4)</f>
        <v>20</v>
      </c>
      <c r="E4" s="76">
        <f>AVERAGEIF(Dataset!G:G,'Task-Solution'!C4,Dataset!R:R)</f>
        <v>248870.48650139998</v>
      </c>
      <c r="H4">
        <f ca="1">ROUNDDOWN((TODAY()-Dataset!J4)/365,0)</f>
        <v>34</v>
      </c>
      <c r="I4" t="str">
        <f ca="1">_xlfn.XLOOKUP(H4,'Age Range'!A:A,'Age Range'!B:B)</f>
        <v>30-39</v>
      </c>
    </row>
    <row r="5" spans="1:9" x14ac:dyDescent="0.25">
      <c r="A5" s="81">
        <f ca="1">AVERAGE(Dataset!K:K)</f>
        <v>35.631799163179913</v>
      </c>
      <c r="C5" s="13" t="s">
        <v>221</v>
      </c>
      <c r="D5" s="75">
        <f>COUNTIF(Dataset!G:G,'Task-Solution'!C5)</f>
        <v>22</v>
      </c>
      <c r="E5" s="76">
        <f>AVERAGEIF(Dataset!G:G,'Task-Solution'!C5,Dataset!R:R)</f>
        <v>455333.96981236356</v>
      </c>
      <c r="H5">
        <f ca="1">ROUNDDOWN((TODAY()-Dataset!J5)/365,0)</f>
        <v>38</v>
      </c>
      <c r="I5" t="str">
        <f ca="1">_xlfn.XLOOKUP(H5,'Age Range'!A:A,'Age Range'!B:B)</f>
        <v>30-39</v>
      </c>
    </row>
    <row r="6" spans="1:9" x14ac:dyDescent="0.25">
      <c r="C6" s="13" t="s">
        <v>43</v>
      </c>
      <c r="D6" s="75">
        <f>COUNTIF(Dataset!G:G,'Task-Solution'!C6)</f>
        <v>19</v>
      </c>
      <c r="E6" s="76">
        <f>AVERAGEIF(Dataset!G:G,'Task-Solution'!C6,Dataset!R:R)</f>
        <v>388866.10752443376</v>
      </c>
      <c r="H6">
        <f ca="1">ROUNDDOWN((TODAY()-Dataset!J6)/365,0)</f>
        <v>42</v>
      </c>
      <c r="I6" t="str">
        <f ca="1">_xlfn.XLOOKUP(H6,'Age Range'!A:A,'Age Range'!B:B)</f>
        <v>40-49</v>
      </c>
    </row>
    <row r="7" spans="1:9" x14ac:dyDescent="0.25">
      <c r="A7" s="77" t="s">
        <v>1693</v>
      </c>
      <c r="C7" s="13" t="s">
        <v>322</v>
      </c>
      <c r="D7" s="75">
        <f>COUNTIF(Dataset!G:G,'Task-Solution'!C7)</f>
        <v>11</v>
      </c>
      <c r="E7" s="76">
        <f>AVERAGEIF(Dataset!G:G,'Task-Solution'!C7,Dataset!R:R)</f>
        <v>979924.98545454547</v>
      </c>
      <c r="H7">
        <f ca="1">ROUNDDOWN((TODAY()-Dataset!J7)/365,0)</f>
        <v>41</v>
      </c>
      <c r="I7" t="str">
        <f ca="1">_xlfn.XLOOKUP(H7,'Age Range'!A:A,'Age Range'!B:B)</f>
        <v>40-49</v>
      </c>
    </row>
    <row r="8" spans="1:9" x14ac:dyDescent="0.25">
      <c r="A8" s="81">
        <f>SUM(Dataset!R:R)</f>
        <v>117234156.62018199</v>
      </c>
      <c r="C8" s="13" t="s">
        <v>336</v>
      </c>
      <c r="D8" s="75">
        <f>COUNTIF(Dataset!G:G,'Task-Solution'!C8)</f>
        <v>5</v>
      </c>
      <c r="E8" s="76">
        <f>AVERAGEIF(Dataset!G:G,'Task-Solution'!C8,Dataset!R:R)</f>
        <v>524321.304</v>
      </c>
      <c r="H8">
        <f ca="1">ROUNDDOWN((TODAY()-Dataset!J8)/365,0)</f>
        <v>33</v>
      </c>
      <c r="I8" t="str">
        <f ca="1">_xlfn.XLOOKUP(H8,'Age Range'!A:A,'Age Range'!B:B)</f>
        <v>30-39</v>
      </c>
    </row>
    <row r="9" spans="1:9" x14ac:dyDescent="0.25">
      <c r="C9" s="13" t="s">
        <v>350</v>
      </c>
      <c r="D9" s="75">
        <f>COUNTIF(Dataset!G:G,'Task-Solution'!C9)</f>
        <v>6</v>
      </c>
      <c r="E9" s="76">
        <f>AVERAGEIF(Dataset!G:G,'Task-Solution'!C9,Dataset!R:R)</f>
        <v>1271478.6201264288</v>
      </c>
      <c r="H9">
        <f ca="1">ROUNDDOWN((TODAY()-Dataset!J9)/365,0)</f>
        <v>36</v>
      </c>
      <c r="I9" t="str">
        <f ca="1">_xlfn.XLOOKUP(H9,'Age Range'!A:A,'Age Range'!B:B)</f>
        <v>30-39</v>
      </c>
    </row>
    <row r="10" spans="1:9" x14ac:dyDescent="0.25">
      <c r="A10" s="77" t="s">
        <v>1694</v>
      </c>
      <c r="C10" s="13" t="s">
        <v>525</v>
      </c>
      <c r="D10" s="75">
        <f>COUNTIF(Dataset!G:G,'Task-Solution'!C10)</f>
        <v>2</v>
      </c>
      <c r="E10" s="76">
        <f>AVERAGEIF(Dataset!G:G,'Task-Solution'!C10,Dataset!R:R)</f>
        <v>2061954.8901036254</v>
      </c>
      <c r="H10">
        <f ca="1">ROUNDDOWN((TODAY()-Dataset!J10)/365,0)</f>
        <v>38</v>
      </c>
      <c r="I10" t="str">
        <f ca="1">_xlfn.XLOOKUP(H10,'Age Range'!A:A,'Age Range'!B:B)</f>
        <v>30-39</v>
      </c>
    </row>
    <row r="11" spans="1:9" x14ac:dyDescent="0.25">
      <c r="A11" s="81">
        <f>MAX(Dataset!R:R)</f>
        <v>3999999.99</v>
      </c>
      <c r="C11" s="13" t="s">
        <v>557</v>
      </c>
      <c r="D11" s="75">
        <f>COUNTIF(Dataset!G:G,'Task-Solution'!C11)</f>
        <v>4</v>
      </c>
      <c r="E11" s="76">
        <f>AVERAGEIF(Dataset!G:G,'Task-Solution'!C11,Dataset!R:R)</f>
        <v>1414587.6723</v>
      </c>
      <c r="H11">
        <f ca="1">ROUNDDOWN((TODAY()-Dataset!J11)/365,0)</f>
        <v>30</v>
      </c>
      <c r="I11" t="str">
        <f ca="1">_xlfn.XLOOKUP(H11,'Age Range'!A:A,'Age Range'!B:B)</f>
        <v>30-39</v>
      </c>
    </row>
    <row r="12" spans="1:9" x14ac:dyDescent="0.25">
      <c r="C12" s="13" t="s">
        <v>572</v>
      </c>
      <c r="D12" s="75">
        <f>COUNTIF(Dataset!G:G,'Task-Solution'!C12)</f>
        <v>2</v>
      </c>
      <c r="E12" s="76">
        <f>AVERAGEIF(Dataset!G:G,'Task-Solution'!C12,Dataset!R:R)</f>
        <v>686108.79</v>
      </c>
      <c r="H12">
        <f ca="1">ROUNDDOWN((TODAY()-Dataset!J12)/365,0)</f>
        <v>37</v>
      </c>
      <c r="I12" t="str">
        <f ca="1">_xlfn.XLOOKUP(H12,'Age Range'!A:A,'Age Range'!B:B)</f>
        <v>30-39</v>
      </c>
    </row>
    <row r="13" spans="1:9" x14ac:dyDescent="0.25">
      <c r="A13" s="77" t="s">
        <v>1695</v>
      </c>
      <c r="C13" s="13" t="s">
        <v>629</v>
      </c>
      <c r="D13" s="75">
        <f>COUNTIF(Dataset!G:G,'Task-Solution'!C13)</f>
        <v>1</v>
      </c>
      <c r="E13" s="76">
        <f>AVERAGEIF(Dataset!G:G,'Task-Solution'!C13,Dataset!R:R)</f>
        <v>705478.89</v>
      </c>
      <c r="H13">
        <f ca="1">ROUNDDOWN((TODAY()-Dataset!J13)/365,0)</f>
        <v>36</v>
      </c>
      <c r="I13" t="str">
        <f ca="1">_xlfn.XLOOKUP(H13,'Age Range'!A:A,'Age Range'!B:B)</f>
        <v>30-39</v>
      </c>
    </row>
    <row r="14" spans="1:9" x14ac:dyDescent="0.25">
      <c r="A14" s="81">
        <f>MIN(Dataset!R:R)</f>
        <v>101581.2</v>
      </c>
      <c r="C14" s="13" t="s">
        <v>656</v>
      </c>
      <c r="D14" s="75">
        <f>COUNTIF(Dataset!G:G,'Task-Solution'!C14)</f>
        <v>2</v>
      </c>
      <c r="E14" s="76">
        <f>AVERAGEIF(Dataset!G:G,'Task-Solution'!C14,Dataset!R:R)</f>
        <v>2369397.1887499997</v>
      </c>
      <c r="H14">
        <f ca="1">ROUNDDOWN((TODAY()-Dataset!J14)/365,0)</f>
        <v>35</v>
      </c>
      <c r="I14" t="str">
        <f ca="1">_xlfn.XLOOKUP(H14,'Age Range'!A:A,'Age Range'!B:B)</f>
        <v>30-39</v>
      </c>
    </row>
    <row r="15" spans="1:9" x14ac:dyDescent="0.25">
      <c r="C15" s="13" t="s">
        <v>671</v>
      </c>
      <c r="D15" s="75">
        <f>COUNTIF(Dataset!G:G,'Task-Solution'!C15)</f>
        <v>1</v>
      </c>
      <c r="E15" s="76">
        <f>AVERAGEIF(Dataset!G:G,'Task-Solution'!C15,Dataset!R:R)</f>
        <v>508980</v>
      </c>
      <c r="H15">
        <f ca="1">ROUNDDOWN((TODAY()-Dataset!J15)/365,0)</f>
        <v>29</v>
      </c>
      <c r="I15" t="str">
        <f ca="1">_xlfn.XLOOKUP(H15,'Age Range'!A:A,'Age Range'!B:B)</f>
        <v>20-29</v>
      </c>
    </row>
    <row r="16" spans="1:9" x14ac:dyDescent="0.25">
      <c r="A16" s="77" t="s">
        <v>1696</v>
      </c>
      <c r="H16">
        <f ca="1">ROUNDDOWN((TODAY()-Dataset!J16)/365,0)</f>
        <v>40</v>
      </c>
      <c r="I16" t="str">
        <f ca="1">_xlfn.XLOOKUP(H16,'Age Range'!A:A,'Age Range'!B:B)</f>
        <v>40-49</v>
      </c>
    </row>
    <row r="17" spans="1:9" x14ac:dyDescent="0.25">
      <c r="A17" s="81">
        <f>COUNTIF(Dataset!S:S,"&gt;80")</f>
        <v>66</v>
      </c>
      <c r="H17">
        <f ca="1">ROUNDDOWN((TODAY()-Dataset!J17)/365,0)</f>
        <v>44</v>
      </c>
      <c r="I17" t="str">
        <f ca="1">_xlfn.XLOOKUP(H17,'Age Range'!A:A,'Age Range'!B:B)</f>
        <v>40-49</v>
      </c>
    </row>
    <row r="18" spans="1:9" x14ac:dyDescent="0.25">
      <c r="A18"/>
      <c r="H18">
        <f ca="1">ROUNDDOWN((TODAY()-Dataset!J18)/365,0)</f>
        <v>33</v>
      </c>
      <c r="I18" t="str">
        <f ca="1">_xlfn.XLOOKUP(H18,'Age Range'!A:A,'Age Range'!B:B)</f>
        <v>30-39</v>
      </c>
    </row>
    <row r="19" spans="1:9" x14ac:dyDescent="0.25">
      <c r="A19" s="77" t="s">
        <v>1697</v>
      </c>
      <c r="H19">
        <f ca="1">ROUNDDOWN((TODAY()-Dataset!J19)/365,0)</f>
        <v>35</v>
      </c>
      <c r="I19" t="str">
        <f ca="1">_xlfn.XLOOKUP(H19,'Age Range'!A:A,'Age Range'!B:B)</f>
        <v>30-39</v>
      </c>
    </row>
    <row r="20" spans="1:9" x14ac:dyDescent="0.25">
      <c r="A20" s="81">
        <f ca="1">AVERAGE(Dataset!N:N)</f>
        <v>12.07949790794979</v>
      </c>
      <c r="H20">
        <f ca="1">ROUNDDOWN((TODAY()-Dataset!J20)/365,0)</f>
        <v>29</v>
      </c>
      <c r="I20" t="str">
        <f ca="1">_xlfn.XLOOKUP(H20,'Age Range'!A:A,'Age Range'!B:B)</f>
        <v>20-29</v>
      </c>
    </row>
    <row r="21" spans="1:9" x14ac:dyDescent="0.25">
      <c r="A21"/>
    </row>
    <row r="22" spans="1:9" x14ac:dyDescent="0.25">
      <c r="A22"/>
    </row>
    <row r="23" spans="1:9" x14ac:dyDescent="0.25">
      <c r="A23"/>
    </row>
    <row r="24" spans="1:9" x14ac:dyDescent="0.25">
      <c r="A24"/>
    </row>
    <row r="25" spans="1:9" x14ac:dyDescent="0.25">
      <c r="A25"/>
    </row>
    <row r="26" spans="1:9" x14ac:dyDescent="0.25">
      <c r="A26"/>
    </row>
    <row r="27" spans="1:9" x14ac:dyDescent="0.25">
      <c r="A27"/>
    </row>
    <row r="28" spans="1:9" x14ac:dyDescent="0.25">
      <c r="A28"/>
    </row>
    <row r="29" spans="1:9" x14ac:dyDescent="0.25">
      <c r="A29"/>
    </row>
    <row r="30" spans="1:9" x14ac:dyDescent="0.25">
      <c r="A30"/>
    </row>
    <row r="31" spans="1:9" x14ac:dyDescent="0.25">
      <c r="A31"/>
    </row>
    <row r="32" spans="1:9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  <row r="52" spans="1:1" x14ac:dyDescent="0.25">
      <c r="A52"/>
    </row>
    <row r="53" spans="1:1" x14ac:dyDescent="0.25">
      <c r="A53"/>
    </row>
    <row r="54" spans="1:1" x14ac:dyDescent="0.25">
      <c r="A54"/>
    </row>
    <row r="55" spans="1:1" x14ac:dyDescent="0.25">
      <c r="A55"/>
    </row>
    <row r="56" spans="1:1" x14ac:dyDescent="0.25">
      <c r="A56"/>
    </row>
    <row r="57" spans="1:1" x14ac:dyDescent="0.25">
      <c r="A57"/>
    </row>
    <row r="58" spans="1:1" x14ac:dyDescent="0.25">
      <c r="A58"/>
    </row>
    <row r="59" spans="1:1" x14ac:dyDescent="0.25">
      <c r="A59"/>
    </row>
    <row r="60" spans="1:1" x14ac:dyDescent="0.25">
      <c r="A60"/>
    </row>
    <row r="61" spans="1:1" x14ac:dyDescent="0.25">
      <c r="A61"/>
    </row>
    <row r="62" spans="1:1" x14ac:dyDescent="0.25">
      <c r="A62"/>
    </row>
    <row r="63" spans="1:1" x14ac:dyDescent="0.25">
      <c r="A63"/>
    </row>
    <row r="64" spans="1:1" x14ac:dyDescent="0.25">
      <c r="A64"/>
    </row>
    <row r="65" spans="1:1" x14ac:dyDescent="0.25">
      <c r="A65"/>
    </row>
    <row r="66" spans="1:1" x14ac:dyDescent="0.25">
      <c r="A66"/>
    </row>
    <row r="67" spans="1:1" x14ac:dyDescent="0.25">
      <c r="A67"/>
    </row>
    <row r="68" spans="1:1" x14ac:dyDescent="0.25">
      <c r="A68"/>
    </row>
    <row r="69" spans="1:1" x14ac:dyDescent="0.25">
      <c r="A69"/>
    </row>
    <row r="70" spans="1:1" x14ac:dyDescent="0.25">
      <c r="A70"/>
    </row>
    <row r="71" spans="1:1" x14ac:dyDescent="0.25">
      <c r="A71"/>
    </row>
    <row r="72" spans="1:1" x14ac:dyDescent="0.25">
      <c r="A72"/>
    </row>
    <row r="73" spans="1:1" x14ac:dyDescent="0.25">
      <c r="A73"/>
    </row>
    <row r="74" spans="1:1" x14ac:dyDescent="0.25">
      <c r="A74"/>
    </row>
    <row r="75" spans="1:1" x14ac:dyDescent="0.25">
      <c r="A75"/>
    </row>
    <row r="76" spans="1:1" x14ac:dyDescent="0.25">
      <c r="A76"/>
    </row>
    <row r="77" spans="1:1" x14ac:dyDescent="0.25">
      <c r="A77"/>
    </row>
    <row r="78" spans="1:1" x14ac:dyDescent="0.25">
      <c r="A78"/>
    </row>
    <row r="79" spans="1:1" x14ac:dyDescent="0.25">
      <c r="A79"/>
    </row>
    <row r="80" spans="1:1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  <row r="101" spans="1:1" x14ac:dyDescent="0.25">
      <c r="A101"/>
    </row>
    <row r="102" spans="1:1" x14ac:dyDescent="0.25">
      <c r="A102"/>
    </row>
    <row r="103" spans="1:1" x14ac:dyDescent="0.25">
      <c r="A103"/>
    </row>
    <row r="104" spans="1:1" x14ac:dyDescent="0.25">
      <c r="A104"/>
    </row>
    <row r="105" spans="1:1" x14ac:dyDescent="0.25">
      <c r="A105"/>
    </row>
    <row r="106" spans="1:1" x14ac:dyDescent="0.25">
      <c r="A106"/>
    </row>
    <row r="107" spans="1:1" x14ac:dyDescent="0.25">
      <c r="A107"/>
    </row>
    <row r="108" spans="1:1" x14ac:dyDescent="0.25">
      <c r="A108"/>
    </row>
    <row r="109" spans="1:1" x14ac:dyDescent="0.25">
      <c r="A109"/>
    </row>
    <row r="110" spans="1:1" x14ac:dyDescent="0.25">
      <c r="A110"/>
    </row>
    <row r="111" spans="1:1" x14ac:dyDescent="0.25">
      <c r="A111"/>
    </row>
    <row r="112" spans="1:1" x14ac:dyDescent="0.25">
      <c r="A112"/>
    </row>
    <row r="113" spans="1:1" x14ac:dyDescent="0.25">
      <c r="A113"/>
    </row>
    <row r="114" spans="1:1" x14ac:dyDescent="0.25">
      <c r="A114"/>
    </row>
    <row r="115" spans="1:1" x14ac:dyDescent="0.25">
      <c r="A115"/>
    </row>
    <row r="116" spans="1:1" x14ac:dyDescent="0.25">
      <c r="A116"/>
    </row>
    <row r="117" spans="1:1" x14ac:dyDescent="0.25">
      <c r="A117"/>
    </row>
    <row r="118" spans="1:1" x14ac:dyDescent="0.25">
      <c r="A118"/>
    </row>
    <row r="119" spans="1:1" x14ac:dyDescent="0.25">
      <c r="A119"/>
    </row>
    <row r="120" spans="1:1" x14ac:dyDescent="0.25">
      <c r="A120"/>
    </row>
    <row r="121" spans="1:1" x14ac:dyDescent="0.25">
      <c r="A121"/>
    </row>
    <row r="122" spans="1:1" x14ac:dyDescent="0.25">
      <c r="A122"/>
    </row>
    <row r="123" spans="1:1" x14ac:dyDescent="0.25">
      <c r="A123"/>
    </row>
    <row r="124" spans="1:1" x14ac:dyDescent="0.25">
      <c r="A124"/>
    </row>
    <row r="125" spans="1:1" x14ac:dyDescent="0.25">
      <c r="A125"/>
    </row>
    <row r="126" spans="1:1" x14ac:dyDescent="0.25">
      <c r="A126"/>
    </row>
    <row r="127" spans="1:1" x14ac:dyDescent="0.25">
      <c r="A127"/>
    </row>
    <row r="128" spans="1:1" x14ac:dyDescent="0.25">
      <c r="A128"/>
    </row>
    <row r="129" spans="1:1" x14ac:dyDescent="0.25">
      <c r="A129"/>
    </row>
    <row r="130" spans="1:1" x14ac:dyDescent="0.25">
      <c r="A130"/>
    </row>
    <row r="131" spans="1:1" x14ac:dyDescent="0.25">
      <c r="A131"/>
    </row>
    <row r="132" spans="1:1" x14ac:dyDescent="0.25">
      <c r="A132"/>
    </row>
    <row r="133" spans="1:1" x14ac:dyDescent="0.25">
      <c r="A133"/>
    </row>
    <row r="134" spans="1:1" x14ac:dyDescent="0.25">
      <c r="A134"/>
    </row>
    <row r="135" spans="1:1" x14ac:dyDescent="0.25">
      <c r="A135"/>
    </row>
    <row r="136" spans="1:1" x14ac:dyDescent="0.25">
      <c r="A136"/>
    </row>
    <row r="137" spans="1:1" x14ac:dyDescent="0.25">
      <c r="A137"/>
    </row>
    <row r="138" spans="1:1" x14ac:dyDescent="0.25">
      <c r="A138"/>
    </row>
    <row r="139" spans="1:1" x14ac:dyDescent="0.25">
      <c r="A139"/>
    </row>
    <row r="140" spans="1:1" x14ac:dyDescent="0.25">
      <c r="A140"/>
    </row>
    <row r="141" spans="1:1" x14ac:dyDescent="0.25">
      <c r="A141"/>
    </row>
    <row r="142" spans="1:1" x14ac:dyDescent="0.25">
      <c r="A142"/>
    </row>
    <row r="143" spans="1:1" x14ac:dyDescent="0.25">
      <c r="A143"/>
    </row>
    <row r="144" spans="1:1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Dataset</vt:lpstr>
      <vt:lpstr>Recruitment</vt:lpstr>
      <vt:lpstr>Exit</vt:lpstr>
      <vt:lpstr>Classification Legend</vt:lpstr>
      <vt:lpstr>Performace Score</vt:lpstr>
      <vt:lpstr>Work Model</vt:lpstr>
      <vt:lpstr>LOS Range</vt:lpstr>
      <vt:lpstr>Age Range</vt:lpstr>
      <vt:lpstr>Task-Solution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Jethro Iruobe</dc:creator>
  <cp:keywords/>
  <dc:description/>
  <cp:lastModifiedBy>Tj Taiwo</cp:lastModifiedBy>
  <cp:revision/>
  <dcterms:created xsi:type="dcterms:W3CDTF">2021-11-11T12:14:44Z</dcterms:created>
  <dcterms:modified xsi:type="dcterms:W3CDTF">2025-12-29T08:11:28Z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854951-7041-4c7c-8366-edc4528ca7cc_Enabled">
    <vt:lpwstr>true</vt:lpwstr>
  </property>
  <property fmtid="{D5CDD505-2E9C-101B-9397-08002B2CF9AE}" pid="3" name="MSIP_Label_ea854951-7041-4c7c-8366-edc4528ca7cc_SetDate">
    <vt:lpwstr>2022-05-10T13:19:31Z</vt:lpwstr>
  </property>
  <property fmtid="{D5CDD505-2E9C-101B-9397-08002B2CF9AE}" pid="4" name="MSIP_Label_ea854951-7041-4c7c-8366-edc4528ca7cc_Method">
    <vt:lpwstr>Standard</vt:lpwstr>
  </property>
  <property fmtid="{D5CDD505-2E9C-101B-9397-08002B2CF9AE}" pid="5" name="MSIP_Label_ea854951-7041-4c7c-8366-edc4528ca7cc_Name">
    <vt:lpwstr>ea854951-7041-4c7c-8366-edc4528ca7cc</vt:lpwstr>
  </property>
  <property fmtid="{D5CDD505-2E9C-101B-9397-08002B2CF9AE}" pid="6" name="MSIP_Label_ea854951-7041-4c7c-8366-edc4528ca7cc_SiteId">
    <vt:lpwstr>d2a96d22-de08-48e1-bc43-78e70d957e83</vt:lpwstr>
  </property>
  <property fmtid="{D5CDD505-2E9C-101B-9397-08002B2CF9AE}" pid="7" name="MSIP_Label_ea854951-7041-4c7c-8366-edc4528ca7cc_ActionId">
    <vt:lpwstr>4253f879-d04c-45b1-a04c-f8bc5cc97121</vt:lpwstr>
  </property>
  <property fmtid="{D5CDD505-2E9C-101B-9397-08002B2CF9AE}" pid="8" name="MSIP_Label_ea854951-7041-4c7c-8366-edc4528ca7cc_ContentBits">
    <vt:lpwstr>1</vt:lpwstr>
  </property>
</Properties>
</file>